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ves" sheetId="2" state="visible" r:id="rId4"/>
    <sheet name="By kind" sheetId="3" state="visible" r:id="rId5"/>
    <sheet name="Notes" sheetId="4" state="visible" r:id="rId6"/>
  </sheets>
  <definedNames>
    <definedName function="false" hidden="true" localSheetId="1" name="_xlnm._FilterDatabase" vbProcedure="false">Moves!$A$1:$Z$65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<sst xmlns="http://schemas.openxmlformats.org/spreadsheetml/2006/main" count="503" uniqueCount="251">
  <si>
    <t xml:space="preserve">Move geometry table: assumptions (blue cells are inputs, change them and every sheet recalculates)</t>
  </si>
  <si>
    <t xml:space="preserve">Name</t>
  </si>
  <si>
    <t xml:space="preserve">Value</t>
  </si>
  <si>
    <t xml:space="preserve">Notes</t>
  </si>
  <si>
    <t xml:space="preserve">ANCHOR_CD</t>
  </si>
  <si>
    <t xml:space="preserve">Cooldown (s) of the anchor move. Tackle currently has cd 0.5 and PP 35.</t>
  </si>
  <si>
    <t xml:space="preserve">ANCHOR_PP</t>
  </si>
  <si>
    <t xml:space="preserve">PP of the anchor move (Tackle).</t>
  </si>
  <si>
    <t xml:space="preserve">BETA</t>
  </si>
  <si>
    <t xml:space="preserve">Cooldown exponent: cd = ANCHOR_CD * (ANCHOR_PP / PP)^BETA. 1.0 = pure 1/PP (equal sustained DPS where power x PP is constant). Lower compresses long cooldowns (0.5 = square root).</t>
  </si>
  <si>
    <t xml:space="preserve">TAU</t>
  </si>
  <si>
    <t xml:space="preserve">Tick interval (s) for continuous kinds in tick mode. Trail already ticks every 0.5 s in the code.</t>
  </si>
  <si>
    <t xml:space="preserve">CONE_E</t>
  </si>
  <si>
    <t xml:space="preserve">Decision 2026-10-18: cone divisor = pellets a target takes at TYPICAL range (about 3 for a 7-pellet cone), not the full pellet count.</t>
  </si>
  <si>
    <t xml:space="preserve">TRAIL_OVERLAP</t>
  </si>
  <si>
    <t xml:space="preserve">Design overlap: puddles covering a target in the trail. Flame Wheel radius 28 px, move speed about 107 px/s, drop every 0.28 s gives about 1.9.</t>
  </si>
  <si>
    <t xml:space="preserve">AURA_TICK_MODE</t>
  </si>
  <si>
    <t xml:space="preserve">1 = auras deliver the budget as ticks every TAU seconds; 0 = one pulse per cooldown (E = 1). OPEN decision.</t>
  </si>
  <si>
    <t xml:space="preserve">PULSE_MAX_CD</t>
  </si>
  <si>
    <t xml:space="preserve">Rule of thumb: an aura pulse longer than this reads as a shockwave, not a field around you.</t>
  </si>
  <si>
    <t xml:space="preserve">Budget spread (damaging moves only, power units per second per target)</t>
  </si>
  <si>
    <t xml:space="preserve">Lowest</t>
  </si>
  <si>
    <t xml:space="preserve">Budget = power x accuracy x hits / cooldown(PP). A flat budget means PP and power are balanced the way mainline intended; outliers are moves whose PP was balanced by another cost (recoil, recharge, accuracy).</t>
  </si>
  <si>
    <t xml:space="preserve">Highest</t>
  </si>
  <si>
    <t xml:space="preserve">Average</t>
  </si>
  <si>
    <t xml:space="preserve">Highest / lowest</t>
  </si>
  <si>
    <t xml:space="preserve">Move id</t>
  </si>
  <si>
    <t xml:space="preserve">Type</t>
  </si>
  <si>
    <t xml:space="preserve">Game kind</t>
  </si>
  <si>
    <t xml:space="preserve">Workbook kind</t>
  </si>
  <si>
    <t xml:space="preserve">Class</t>
  </si>
  <si>
    <t xml:space="preserve">Game power</t>
  </si>
  <si>
    <t xml:space="preserve">PP</t>
  </si>
  <si>
    <t xml:space="preserve">Accuracy</t>
  </si>
  <si>
    <t xml:space="preserve">Min hits</t>
  </si>
  <si>
    <t xml:space="preserve">Max hits</t>
  </si>
  <si>
    <t xml:space="preserve">Base count</t>
  </si>
  <si>
    <t xml:space="preserve">Orbit speed (rad/s)</t>
  </si>
  <si>
    <t xml:space="preserve">Current cd (s)</t>
  </si>
  <si>
    <t xml:space="preserve">Hits per cast</t>
  </si>
  <si>
    <t xml:space="preserve">Power x accuracy</t>
  </si>
  <si>
    <t xml:space="preserve">C_cast (power units)</t>
  </si>
  <si>
    <t xml:space="preserve">Cooldown from PP (s)</t>
  </si>
  <si>
    <t xml:space="preserve">E at base (events per target)</t>
  </si>
  <si>
    <t xml:space="preserve">Budget (power units/s per target)</t>
  </si>
  <si>
    <t xml:space="preserve">Per-event damage d (power units)</t>
  </si>
  <si>
    <t xml:space="preserve">Current single-target potential (power units/s)</t>
  </si>
  <si>
    <t xml:space="preserve">New budget / current</t>
  </si>
  <si>
    <t xml:space="preserve">New cd / current cd</t>
  </si>
  <si>
    <t xml:space="preserve">Aura check</t>
  </si>
  <si>
    <t xml:space="preserve">tackle</t>
  </si>
  <si>
    <t xml:space="preserve">Tackle</t>
  </si>
  <si>
    <t xml:space="preserve">normal</t>
  </si>
  <si>
    <t xml:space="preserve">melee</t>
  </si>
  <si>
    <t xml:space="preserve">Melee</t>
  </si>
  <si>
    <t xml:space="preserve">physical</t>
  </si>
  <si>
    <t xml:space="preserve">quick-attack</t>
  </si>
  <si>
    <t xml:space="preserve">Quick Attack</t>
  </si>
  <si>
    <t xml:space="preserve">dash</t>
  </si>
  <si>
    <t xml:space="preserve">Dash</t>
  </si>
  <si>
    <t xml:space="preserve">swords-dance</t>
  </si>
  <si>
    <t xml:space="preserve">Swords Dance</t>
  </si>
  <si>
    <t xml:space="preserve">buff</t>
  </si>
  <si>
    <t xml:space="preserve">Buff</t>
  </si>
  <si>
    <t xml:space="preserve">status</t>
  </si>
  <si>
    <t xml:space="preserve">buff: no damage</t>
  </si>
  <si>
    <t xml:space="preserve">agility</t>
  </si>
  <si>
    <t xml:space="preserve">Agility</t>
  </si>
  <si>
    <t xml:space="preserve">harden</t>
  </si>
  <si>
    <t xml:space="preserve">Harden</t>
  </si>
  <si>
    <t xml:space="preserve">ember</t>
  </si>
  <si>
    <t xml:space="preserve">Ember</t>
  </si>
  <si>
    <t xml:space="preserve">fire</t>
  </si>
  <si>
    <t xml:space="preserve">projectile</t>
  </si>
  <si>
    <t xml:space="preserve">Projectile</t>
  </si>
  <si>
    <t xml:space="preserve">special</t>
  </si>
  <si>
    <t xml:space="preserve">flamethrower</t>
  </si>
  <si>
    <t xml:space="preserve">Flamethrower</t>
  </si>
  <si>
    <t xml:space="preserve">cone</t>
  </si>
  <si>
    <t xml:space="preserve">Spray</t>
  </si>
  <si>
    <t xml:space="preserve">fire-spin</t>
  </si>
  <si>
    <t xml:space="preserve">Fire Spin</t>
  </si>
  <si>
    <t xml:space="preserve">orbit</t>
  </si>
  <si>
    <t xml:space="preserve">Orbit</t>
  </si>
  <si>
    <t xml:space="preserve">heat-wave</t>
  </si>
  <si>
    <t xml:space="preserve">Heat Wave</t>
  </si>
  <si>
    <t xml:space="preserve">nova</t>
  </si>
  <si>
    <t xml:space="preserve">Burst</t>
  </si>
  <si>
    <t xml:space="preserve">water-gun</t>
  </si>
  <si>
    <t xml:space="preserve">Water Gun</t>
  </si>
  <si>
    <t xml:space="preserve">water</t>
  </si>
  <si>
    <t xml:space="preserve">bubble</t>
  </si>
  <si>
    <t xml:space="preserve">Bubble</t>
  </si>
  <si>
    <t xml:space="preserve">hydro-pump</t>
  </si>
  <si>
    <t xml:space="preserve">Hydro Pump</t>
  </si>
  <si>
    <t xml:space="preserve">beam</t>
  </si>
  <si>
    <t xml:space="preserve">Beam</t>
  </si>
  <si>
    <t xml:space="preserve">aqua-ring</t>
  </si>
  <si>
    <t xml:space="preserve">Aqua Ring</t>
  </si>
  <si>
    <t xml:space="preserve">vine-whip</t>
  </si>
  <si>
    <t xml:space="preserve">Vine Whip</t>
  </si>
  <si>
    <t xml:space="preserve">grass</t>
  </si>
  <si>
    <t xml:space="preserve">razor-leaf</t>
  </si>
  <si>
    <t xml:space="preserve">Razor Leaf</t>
  </si>
  <si>
    <t xml:space="preserve">boomerang</t>
  </si>
  <si>
    <t xml:space="preserve">Boomerang</t>
  </si>
  <si>
    <t xml:space="preserve">visual 2-hit (out and back): E = 2 so damage splits across both passes</t>
  </si>
  <si>
    <t xml:space="preserve">leaf-storm</t>
  </si>
  <si>
    <t xml:space="preserve">Leaf Storm</t>
  </si>
  <si>
    <t xml:space="preserve">giga-drain</t>
  </si>
  <si>
    <t xml:space="preserve">Giga Drain</t>
  </si>
  <si>
    <t xml:space="preserve">aura</t>
  </si>
  <si>
    <t xml:space="preserve">Aura</t>
  </si>
  <si>
    <t xml:space="preserve">thunder-shock</t>
  </si>
  <si>
    <t xml:space="preserve">Thunder Shock</t>
  </si>
  <si>
    <t xml:space="preserve">electric</t>
  </si>
  <si>
    <t xml:space="preserve">discharge</t>
  </si>
  <si>
    <t xml:space="preserve">Discharge</t>
  </si>
  <si>
    <t xml:space="preserve">thunderbolt</t>
  </si>
  <si>
    <t xml:space="preserve">Thunderbolt</t>
  </si>
  <si>
    <t xml:space="preserve">chain</t>
  </si>
  <si>
    <t xml:space="preserve">Chain</t>
  </si>
  <si>
    <t xml:space="preserve">confusion</t>
  </si>
  <si>
    <t xml:space="preserve">Confusion</t>
  </si>
  <si>
    <t xml:space="preserve">psychic</t>
  </si>
  <si>
    <t xml:space="preserve">psybeam</t>
  </si>
  <si>
    <t xml:space="preserve">Psybeam</t>
  </si>
  <si>
    <t xml:space="preserve">Psychic</t>
  </si>
  <si>
    <t xml:space="preserve">sludge</t>
  </si>
  <si>
    <t xml:space="preserve">Sludge</t>
  </si>
  <si>
    <t xml:space="preserve">poison</t>
  </si>
  <si>
    <t xml:space="preserve">mud-shot</t>
  </si>
  <si>
    <t xml:space="preserve">Mud Shot</t>
  </si>
  <si>
    <t xml:space="preserve">ground</t>
  </si>
  <si>
    <t xml:space="preserve">gust</t>
  </si>
  <si>
    <t xml:space="preserve">Gust</t>
  </si>
  <si>
    <t xml:space="preserve">flying</t>
  </si>
  <si>
    <t xml:space="preserve">wing-attack</t>
  </si>
  <si>
    <t xml:space="preserve">Wing Attack</t>
  </si>
  <si>
    <t xml:space="preserve">body-slam</t>
  </si>
  <si>
    <t xml:space="preserve">Body Slam</t>
  </si>
  <si>
    <t xml:space="preserve">hyper-voice</t>
  </si>
  <si>
    <t xml:space="preserve">Hyper Voice</t>
  </si>
  <si>
    <t xml:space="preserve">poison-sting</t>
  </si>
  <si>
    <t xml:space="preserve">Poison Sting</t>
  </si>
  <si>
    <t xml:space="preserve">toxic</t>
  </si>
  <si>
    <t xml:space="preserve">Toxic</t>
  </si>
  <si>
    <t xml:space="preserve">trail</t>
  </si>
  <si>
    <t xml:space="preserve">Trail</t>
  </si>
  <si>
    <t xml:space="preserve">two clocks today: cd = puddle spacing, puddle ticks every 0.5 s at full damage; see TRAIL_OVERLAP</t>
  </si>
  <si>
    <t xml:space="preserve">bulldoze</t>
  </si>
  <si>
    <t xml:space="preserve">Bulldoze</t>
  </si>
  <si>
    <t xml:space="preserve">bug-bite</t>
  </si>
  <si>
    <t xml:space="preserve">Bug Bite</t>
  </si>
  <si>
    <t xml:space="preserve">bug</t>
  </si>
  <si>
    <t xml:space="preserve">string-shot</t>
  </si>
  <si>
    <t xml:space="preserve">String Shot</t>
  </si>
  <si>
    <t xml:space="preserve">mine</t>
  </si>
  <si>
    <t xml:space="preserve">Mines</t>
  </si>
  <si>
    <t xml:space="preserve">power 0 in game data: status or fixed damage, belongs to the status rework</t>
  </si>
  <si>
    <t xml:space="preserve">bug-buzz</t>
  </si>
  <si>
    <t xml:space="preserve">Bug Buzz</t>
  </si>
  <si>
    <t xml:space="preserve">rock-throw</t>
  </si>
  <si>
    <t xml:space="preserve">Rock Throw</t>
  </si>
  <si>
    <t xml:space="preserve">rock</t>
  </si>
  <si>
    <t xml:space="preserve">rock-slide</t>
  </si>
  <si>
    <t xml:space="preserve">Rock Slide</t>
  </si>
  <si>
    <t xml:space="preserve">meteor</t>
  </si>
  <si>
    <t xml:space="preserve">Meteors</t>
  </si>
  <si>
    <t xml:space="preserve">ice-beam</t>
  </si>
  <si>
    <t xml:space="preserve">Ice Beam</t>
  </si>
  <si>
    <t xml:space="preserve">ice</t>
  </si>
  <si>
    <t xml:space="preserve">powder-snow</t>
  </si>
  <si>
    <t xml:space="preserve">Powder Snow</t>
  </si>
  <si>
    <t xml:space="preserve">karate-chop</t>
  </si>
  <si>
    <t xml:space="preserve">Karate Chop</t>
  </si>
  <si>
    <t xml:space="preserve">fighting</t>
  </si>
  <si>
    <t xml:space="preserve">aura-sphere</t>
  </si>
  <si>
    <t xml:space="preserve">Aura Sphere</t>
  </si>
  <si>
    <t xml:space="preserve">lick</t>
  </si>
  <si>
    <t xml:space="preserve">Lick</t>
  </si>
  <si>
    <t xml:space="preserve">ghost</t>
  </si>
  <si>
    <t xml:space="preserve">shadow-ball</t>
  </si>
  <si>
    <t xml:space="preserve">Shadow Ball</t>
  </si>
  <si>
    <t xml:space="preserve">dragon-rage</t>
  </si>
  <si>
    <t xml:space="preserve">Dragon Rage</t>
  </si>
  <si>
    <t xml:space="preserve">dragon</t>
  </si>
  <si>
    <t xml:space="preserve">dragon-dance</t>
  </si>
  <si>
    <t xml:space="preserve">Dragon Dance</t>
  </si>
  <si>
    <t xml:space="preserve">fairy-wind</t>
  </si>
  <si>
    <t xml:space="preserve">Fairy Wind</t>
  </si>
  <si>
    <t xml:space="preserve">fairy</t>
  </si>
  <si>
    <t xml:space="preserve">dazzling-gleam</t>
  </si>
  <si>
    <t xml:space="preserve">Dazzling Gleam</t>
  </si>
  <si>
    <t xml:space="preserve">metal-claw</t>
  </si>
  <si>
    <t xml:space="preserve">Metal Claw</t>
  </si>
  <si>
    <t xml:space="preserve">steel</t>
  </si>
  <si>
    <t xml:space="preserve">flash-cannon</t>
  </si>
  <si>
    <t xml:space="preserve">Flash Cannon</t>
  </si>
  <si>
    <t xml:space="preserve">bite</t>
  </si>
  <si>
    <t xml:space="preserve">Bite</t>
  </si>
  <si>
    <t xml:space="preserve">dark</t>
  </si>
  <si>
    <t xml:space="preserve">dark-pulse</t>
  </si>
  <si>
    <t xml:space="preserve">Dark Pulse</t>
  </si>
  <si>
    <t xml:space="preserve">night-shade</t>
  </si>
  <si>
    <t xml:space="preserve">Night Shade</t>
  </si>
  <si>
    <t xml:space="preserve">bonemerang</t>
  </si>
  <si>
    <t xml:space="preserve">Bonemerang</t>
  </si>
  <si>
    <t xml:space="preserve">true 2-hit in PokeAPI: C_cast counts both hits, E = 2 so each pass does a full hit</t>
  </si>
  <si>
    <t xml:space="preserve">psycho-cut</t>
  </si>
  <si>
    <t xml:space="preserve">Psycho Cut</t>
  </si>
  <si>
    <t xml:space="preserve">spikes</t>
  </si>
  <si>
    <t xml:space="preserve">Spikes</t>
  </si>
  <si>
    <t xml:space="preserve">toxic-spikes</t>
  </si>
  <si>
    <t xml:space="preserve">Toxic Spikes</t>
  </si>
  <si>
    <t xml:space="preserve">hail</t>
  </si>
  <si>
    <t xml:space="preserve">Hail</t>
  </si>
  <si>
    <t xml:space="preserve">meteor-mash</t>
  </si>
  <si>
    <t xml:space="preserve">Meteor Mash</t>
  </si>
  <si>
    <t xml:space="preserve">will-o-wisp</t>
  </si>
  <si>
    <t xml:space="preserve">Will-O-Wisp</t>
  </si>
  <si>
    <t xml:space="preserve">turret</t>
  </si>
  <si>
    <t xml:space="preserve">Turret</t>
  </si>
  <si>
    <t xml:space="preserve">substitute</t>
  </si>
  <si>
    <t xml:space="preserve">Substitute</t>
  </si>
  <si>
    <t xml:space="preserve">aerial-ace</t>
  </si>
  <si>
    <t xml:space="preserve">Aerial Ace</t>
  </si>
  <si>
    <t xml:space="preserve">flame-wheel</t>
  </si>
  <si>
    <t xml:space="preserve">Flame Wheel</t>
  </si>
  <si>
    <t xml:space="preserve">bubble-beam</t>
  </si>
  <si>
    <t xml:space="preserve">Bubble Beam</t>
  </si>
  <si>
    <t xml:space="preserve">hex</t>
  </si>
  <si>
    <t xml:space="preserve">Hex</t>
  </si>
  <si>
    <t xml:space="preserve">Moves</t>
  </si>
  <si>
    <t xml:space="preserve">Moves with power</t>
  </si>
  <si>
    <t xml:space="preserve">Avg new cd (s)</t>
  </si>
  <si>
    <t xml:space="preserve">Avg budget</t>
  </si>
  <si>
    <t xml:space="preserve">Avg new / current</t>
  </si>
  <si>
    <t xml:space="preserve">Min new / current</t>
  </si>
  <si>
    <t xml:space="preserve">Max new / current</t>
  </si>
  <si>
    <t xml:space="preserve">New / current below 1 = the move gets weaker than today, above 1 = stronger. Based on current single-target potential at base config (cones at point blank, orbit target on the ring).</t>
  </si>
  <si>
    <t xml:space="preserve">How this table works</t>
  </si>
  <si>
    <t xml:space="preserve">d = C_cast / E. C_cast = mainline damage of a full use in power units (power x accuracy/100 x hits). E = events one target is expected to take per cast, or per cooldown period for continuous kinds, at the move BASE config.</t>
  </si>
  <si>
    <t xml:space="preserve">Power units: the in-game damage is proportional to power for a given attacker/defender, so a power-unit table needs no stat or level assumptions.</t>
  </si>
  <si>
    <t xml:space="preserve">Cooldown from PP: cd = ANCHOR_CD x (ANCHOR_PP / PP)^BETA. Budget = C_cast / cd. This is the sustained single-target damage per second the new model gives the move.</t>
  </si>
  <si>
    <t xml:space="preserve">Current single-target potential: what the current code can deliver to ONE target at base: cones at point blank (all pellets land), orbs passing a target on the ring once per pass, boomerangs out and back, trail with overlap puddles ticking 0.5 s. It ignores accuracy and uses the current cooldown.</t>
  </si>
  <si>
    <t xml:space="preserve">Orbit E = orbs x (omega / 2 pi) x cooldown: passes per cooldown period for a target sitting on the ring (omega is the orbit speed in radians per second). Orbit hits are limited by passes, the current re-hit lock (= cd) is not the binding limit.</t>
  </si>
  <si>
    <t xml:space="preserve">Cone E = MIN(pellets, CONE_E). Boomerang E = 2 (out and back). Trail E = TRAIL_OVERLAP x cd / TAU. Aura E = cd / TAU in tick mode, 1 in pulse mode. Everything else E = 1.</t>
  </si>
  <si>
    <t xml:space="preserve">Power 0 rows (status moves, fixed-damage Dragon Rage and Night Shade, hazards) are listed for completeness and give 0: the status rework owns them.</t>
  </si>
  <si>
    <t xml:space="preserve">Accuracy: blank in PokeAPI (never-miss, status) counts as 100. The game has no miss roll; accuracy is folded into power per the 2026-10-18 decision.</t>
  </si>
  <si>
    <t xml:space="preserve">Sources: move stats from js/data/moves.js (game values), PP / accuracy / hits from pokeapi-master/data/v2/csv/moves.csv and move_meta.csv. PP values are current-generation PokeAPI.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</si>
</sst>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0.5</v>
      </c>
      <c r="C4" s="5" t="s">
        <v>5</v>
      </c>
    </row>
    <row r="5" customFormat="false" ht="15" hidden="false" customHeight="false" outlineLevel="0" collapsed="false">
      <c r="A5" s="3" t="s">
        <v>6</v>
      </c>
      <c r="B5" s="4" t="n">
        <v>35</v>
      </c>
      <c r="C5" s="5" t="s">
        <v>7</v>
      </c>
    </row>
    <row r="6" customFormat="false" ht="23.85" hidden="false" customHeight="false" outlineLevel="0" collapsed="false">
      <c r="A6" s="3" t="s">
        <v>8</v>
      </c>
      <c r="B6" s="4" t="n">
        <v>1</v>
      </c>
      <c r="C6" s="5" t="s">
        <v>9</v>
      </c>
    </row>
    <row r="7" customFormat="false" ht="15" hidden="false" customHeight="false" outlineLevel="0" collapsed="false">
      <c r="A7" s="3" t="s">
        <v>10</v>
      </c>
      <c r="B7" s="4" t="n">
        <v>0.5</v>
      </c>
      <c r="C7" s="5" t="s">
        <v>11</v>
      </c>
    </row>
    <row r="8" customFormat="false" ht="15" hidden="false" customHeight="false" outlineLevel="0" collapsed="false">
      <c r="A8" s="3" t="s">
        <v>12</v>
      </c>
      <c r="B8" s="4" t="n">
        <v>3</v>
      </c>
      <c r="C8" s="5" t="s">
        <v>13</v>
      </c>
    </row>
    <row r="9" customFormat="false" ht="23.85" hidden="false" customHeight="false" outlineLevel="0" collapsed="false">
      <c r="A9" s="3" t="s">
        <v>14</v>
      </c>
      <c r="B9" s="4" t="n">
        <v>2</v>
      </c>
      <c r="C9" s="5" t="s">
        <v>15</v>
      </c>
    </row>
    <row r="10" customFormat="false" ht="15" hidden="false" customHeight="false" outlineLevel="0" collapsed="false">
      <c r="A10" s="3" t="s">
        <v>16</v>
      </c>
      <c r="B10" s="4" t="n">
        <v>1</v>
      </c>
      <c r="C10" s="5" t="s">
        <v>17</v>
      </c>
    </row>
    <row r="11" customFormat="false" ht="15" hidden="false" customHeight="false" outlineLevel="0" collapsed="false">
      <c r="A11" s="3" t="s">
        <v>18</v>
      </c>
      <c r="B11" s="4" t="n">
        <v>0.8</v>
      </c>
      <c r="C11" s="5" t="s">
        <v>19</v>
      </c>
    </row>
    <row r="14" customFormat="false" ht="15" hidden="false" customHeight="false" outlineLevel="0" collapsed="false">
      <c r="A14" s="3" t="s">
        <v>20</v>
      </c>
    </row>
    <row r="15" customFormat="false" ht="23.85" hidden="false" customHeight="false" outlineLevel="0" collapsed="false">
      <c r="A15" s="6" t="s">
        <v>21</v>
      </c>
      <c r="B15" s="7" t="n">
        <f aca="false">_xlfn.MINIFS(Moves!$T$2:$T$65,Moves!$T$2:$T$65,"&gt;0")</f>
        <v>25.1428571428571</v>
      </c>
      <c r="C15" s="5" t="s">
        <v>22</v>
      </c>
    </row>
    <row r="16" customFormat="false" ht="15" hidden="false" customHeight="false" outlineLevel="0" collapsed="false">
      <c r="A16" s="6" t="s">
        <v>23</v>
      </c>
      <c r="B16" s="7" t="n">
        <f aca="false">_xlfn.MAXIFS(Moves!$T$2:$T$65,Moves!$T$2:$T$65,"&gt;0")</f>
        <v>120</v>
      </c>
    </row>
    <row r="17" customFormat="false" ht="15" hidden="false" customHeight="false" outlineLevel="0" collapsed="false">
      <c r="A17" s="6" t="s">
        <v>24</v>
      </c>
      <c r="B17" s="7" t="n">
        <f aca="false">AVERAGEIF(Moves!$T$2:$T$65,"&gt;0")</f>
        <v>62.3585714285714</v>
      </c>
    </row>
    <row r="18" customFormat="false" ht="15" hidden="false" customHeight="false" outlineLevel="0" collapsed="false">
      <c r="A18" s="6" t="s">
        <v>25</v>
      </c>
      <c r="B18" s="7" t="n">
        <f aca="false">B16/B15</f>
        <v>4.77272727272727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8" min="8" style="0" width="6"/>
    <col collapsed="false" customWidth="true" hidden="false" outlineLevel="0" max="9" min="9" style="0" width="9"/>
    <col collapsed="false" customWidth="true" hidden="false" outlineLevel="0" max="11" min="10" style="0" width="7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8" min="17" style="0" width="11"/>
    <col collapsed="false" customWidth="true" hidden="false" outlineLevel="0" max="19" min="19" style="0" width="12"/>
    <col collapsed="false" customWidth="true" hidden="false" outlineLevel="0" max="20" min="20" style="0" width="13"/>
    <col collapsed="false" customWidth="true" hidden="false" outlineLevel="0" max="21" min="21" style="0" width="12"/>
    <col collapsed="false" customWidth="true" hidden="false" outlineLevel="0" max="22" min="22" style="0" width="15"/>
    <col collapsed="false" customWidth="true" hidden="false" outlineLevel="0" max="23" min="23" style="0" width="11"/>
    <col collapsed="false" customWidth="true" hidden="false" outlineLevel="0" max="24" min="24" style="0" width="10"/>
    <col collapsed="false" customWidth="true" hidden="false" outlineLevel="0" max="25" min="25" style="0" width="13"/>
    <col collapsed="false" customWidth="true" hidden="false" outlineLevel="0" max="26" min="26" style="0" width="60"/>
  </cols>
  <sheetData>
    <row r="1" customFormat="false" ht="57.75" hidden="false" customHeight="true" outlineLevel="0" collapsed="false">
      <c r="A1" s="8" t="s">
        <v>26</v>
      </c>
      <c r="B1" s="8" t="s">
        <v>1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8" t="s">
        <v>37</v>
      </c>
      <c r="N1" s="8" t="s">
        <v>38</v>
      </c>
      <c r="O1" s="8" t="s">
        <v>39</v>
      </c>
      <c r="P1" s="8" t="s">
        <v>40</v>
      </c>
      <c r="Q1" s="8" t="s">
        <v>41</v>
      </c>
      <c r="R1" s="8" t="s">
        <v>42</v>
      </c>
      <c r="S1" s="8" t="s">
        <v>43</v>
      </c>
      <c r="T1" s="8" t="s">
        <v>44</v>
      </c>
      <c r="U1" s="8" t="s">
        <v>45</v>
      </c>
      <c r="V1" s="8" t="s">
        <v>46</v>
      </c>
      <c r="W1" s="8" t="s">
        <v>47</v>
      </c>
      <c r="X1" s="8" t="s">
        <v>48</v>
      </c>
      <c r="Y1" s="8" t="s">
        <v>49</v>
      </c>
      <c r="Z1" s="8" t="s">
        <v>3</v>
      </c>
    </row>
    <row r="2" customFormat="false" ht="15" hidden="false" customHeight="false" outlineLevel="0" collapsed="false">
      <c r="A2" s="6" t="s">
        <v>50</v>
      </c>
      <c r="B2" s="6" t="s">
        <v>51</v>
      </c>
      <c r="C2" s="6" t="s">
        <v>52</v>
      </c>
      <c r="D2" s="6" t="s">
        <v>53</v>
      </c>
      <c r="E2" s="6" t="s">
        <v>54</v>
      </c>
      <c r="F2" s="6" t="s">
        <v>55</v>
      </c>
      <c r="G2" s="9" t="n">
        <v>40</v>
      </c>
      <c r="H2" s="9" t="n">
        <v>35</v>
      </c>
      <c r="I2" s="9" t="n">
        <v>100</v>
      </c>
      <c r="J2" s="9"/>
      <c r="K2" s="9"/>
      <c r="L2" s="9"/>
      <c r="M2" s="9"/>
      <c r="N2" s="9" t="n">
        <v>0.5</v>
      </c>
      <c r="O2" s="7" t="n">
        <f aca="false">IF(AND(J2&lt;&gt;"",K2&lt;&gt;""),(J2+K2)/2,1)</f>
        <v>1</v>
      </c>
      <c r="P2" s="7" t="n">
        <f aca="false">G2*IF(I2="",100,I2)/100</f>
        <v>40</v>
      </c>
      <c r="Q2" s="7" t="n">
        <f aca="false">P2*O2</f>
        <v>40</v>
      </c>
      <c r="R2" s="10" t="n">
        <f aca="false">Assumptions!$B$4*(Assumptions!$B$5/H2)^Assumptions!$B$6</f>
        <v>0.5</v>
      </c>
      <c r="S2" s="10" t="n">
        <f aca="false">IF(D2="cone",MIN(L2,Assumptions!$B$8),IF(D2="orbit",L2*M2/(2*PI())*R2,IF(D2="boomerang",2,IF(D2="aura",IF(Assumptions!$B$10=1,R2/Assumptions!$B$7,1),IF(D2="trail",Assumptions!$B$9*R2/Assumptions!$B$7,1)))))</f>
        <v>1</v>
      </c>
      <c r="T2" s="7" t="n">
        <f aca="false">Q2/R2</f>
        <v>80</v>
      </c>
      <c r="U2" s="7" t="n">
        <f aca="false">Q2/S2</f>
        <v>40</v>
      </c>
      <c r="V2" s="7" t="n">
        <f aca="false">IF(D2="cone",G2*L2/N2,IF(D2="orbit",G2*L2*M2/(2*PI()),IF(D2="boomerang",G2*2/N2,IF(D2="projectile",G2*L2/N2,IF(D2="trail",G2*Assumptions!$B$9/0.5,G2/N2)))))</f>
        <v>80</v>
      </c>
      <c r="W2" s="10" t="n">
        <f aca="false">IF(V2=0,"",T2/V2)</f>
        <v>1</v>
      </c>
      <c r="X2" s="10" t="n">
        <f aca="false">R2/N2</f>
        <v>1</v>
      </c>
      <c r="Y2" s="6" t="str">
        <f aca="false">IF(D2="aura",IF(R2&gt;Assumptions!$B$11,"ticks needed","pulse ok"),"")</f>
        <v/>
      </c>
      <c r="Z2" s="6"/>
    </row>
    <row r="3" customFormat="false" ht="15" hidden="false" customHeight="false" outlineLevel="0" collapsed="false">
      <c r="A3" s="6" t="s">
        <v>56</v>
      </c>
      <c r="B3" s="6" t="s">
        <v>57</v>
      </c>
      <c r="C3" s="6" t="s">
        <v>52</v>
      </c>
      <c r="D3" s="6" t="s">
        <v>58</v>
      </c>
      <c r="E3" s="6" t="s">
        <v>59</v>
      </c>
      <c r="F3" s="6" t="s">
        <v>55</v>
      </c>
      <c r="G3" s="9" t="n">
        <v>40</v>
      </c>
      <c r="H3" s="9" t="n">
        <v>30</v>
      </c>
      <c r="I3" s="9" t="n">
        <v>100</v>
      </c>
      <c r="J3" s="9"/>
      <c r="K3" s="9"/>
      <c r="L3" s="9"/>
      <c r="M3" s="9"/>
      <c r="N3" s="9" t="n">
        <v>0.75</v>
      </c>
      <c r="O3" s="7" t="n">
        <f aca="false">IF(AND(J3&lt;&gt;"",K3&lt;&gt;""),(J3+K3)/2,1)</f>
        <v>1</v>
      </c>
      <c r="P3" s="7" t="n">
        <f aca="false">G3*IF(I3="",100,I3)/100</f>
        <v>40</v>
      </c>
      <c r="Q3" s="7" t="n">
        <f aca="false">P3*O3</f>
        <v>40</v>
      </c>
      <c r="R3" s="10" t="n">
        <f aca="false">Assumptions!$B$4*(Assumptions!$B$5/H3)^Assumptions!$B$6</f>
        <v>0.583333333333333</v>
      </c>
      <c r="S3" s="10" t="n">
        <f aca="false">IF(D3="cone",MIN(L3,Assumptions!$B$8),IF(D3="orbit",L3*M3/(2*PI())*R3,IF(D3="boomerang",2,IF(D3="aura",IF(Assumptions!$B$10=1,R3/Assumptions!$B$7,1),IF(D3="trail",Assumptions!$B$9*R3/Assumptions!$B$7,1)))))</f>
        <v>1</v>
      </c>
      <c r="T3" s="7" t="n">
        <f aca="false">Q3/R3</f>
        <v>68.5714285714286</v>
      </c>
      <c r="U3" s="7" t="n">
        <f aca="false">Q3/S3</f>
        <v>40</v>
      </c>
      <c r="V3" s="7" t="n">
        <f aca="false">IF(D3="cone",G3*L3/N3,IF(D3="orbit",G3*L3*M3/(2*PI()),IF(D3="boomerang",G3*2/N3,IF(D3="projectile",G3*L3/N3,IF(D3="trail",G3*Assumptions!$B$9/0.5,G3/N3)))))</f>
        <v>53.3333333333333</v>
      </c>
      <c r="W3" s="10" t="n">
        <f aca="false">IF(V3=0,"",T3/V3)</f>
        <v>1.28571428571429</v>
      </c>
      <c r="X3" s="10" t="n">
        <f aca="false">R3/N3</f>
        <v>0.777777777777778</v>
      </c>
      <c r="Y3" s="6" t="str">
        <f aca="false">IF(D3="aura",IF(R3&gt;Assumptions!$B$11,"ticks needed","pulse ok"),"")</f>
        <v/>
      </c>
      <c r="Z3" s="6"/>
    </row>
    <row r="4" customFormat="false" ht="15" hidden="false" customHeight="false" outlineLevel="0" collapsed="false">
      <c r="A4" s="6" t="s">
        <v>60</v>
      </c>
      <c r="B4" s="6" t="s">
        <v>61</v>
      </c>
      <c r="C4" s="6" t="s">
        <v>52</v>
      </c>
      <c r="D4" s="6" t="s">
        <v>62</v>
      </c>
      <c r="E4" s="6" t="s">
        <v>63</v>
      </c>
      <c r="F4" s="6" t="s">
        <v>64</v>
      </c>
      <c r="G4" s="9" t="n">
        <v>0</v>
      </c>
      <c r="H4" s="9" t="n">
        <v>20</v>
      </c>
      <c r="I4" s="9"/>
      <c r="J4" s="9"/>
      <c r="K4" s="9"/>
      <c r="L4" s="9"/>
      <c r="M4" s="9"/>
      <c r="N4" s="9" t="n">
        <v>0.85</v>
      </c>
      <c r="O4" s="7" t="n">
        <f aca="false">IF(AND(J4&lt;&gt;"",K4&lt;&gt;""),(J4+K4)/2,1)</f>
        <v>1</v>
      </c>
      <c r="P4" s="7" t="n">
        <f aca="false">G4*IF(I4="",100,I4)/100</f>
        <v>0</v>
      </c>
      <c r="Q4" s="7" t="n">
        <f aca="false">P4*O4</f>
        <v>0</v>
      </c>
      <c r="R4" s="10" t="n">
        <f aca="false">Assumptions!$B$4*(Assumptions!$B$5/H4)^Assumptions!$B$6</f>
        <v>0.875</v>
      </c>
      <c r="S4" s="10" t="n">
        <f aca="false">IF(D4="cone",MIN(L4,Assumptions!$B$8),IF(D4="orbit",L4*M4/(2*PI())*R4,IF(D4="boomerang",2,IF(D4="aura",IF(Assumptions!$B$10=1,R4/Assumptions!$B$7,1),IF(D4="trail",Assumptions!$B$9*R4/Assumptions!$B$7,1)))))</f>
        <v>1</v>
      </c>
      <c r="T4" s="7" t="n">
        <f aca="false">Q4/R4</f>
        <v>0</v>
      </c>
      <c r="U4" s="7" t="n">
        <f aca="false">Q4/S4</f>
        <v>0</v>
      </c>
      <c r="V4" s="7" t="n">
        <f aca="false">IF(D4="cone",G4*L4/N4,IF(D4="orbit",G4*L4*M4/(2*PI()),IF(D4="boomerang",G4*2/N4,IF(D4="projectile",G4*L4/N4,IF(D4="trail",G4*Assumptions!$B$9/0.5,G4/N4)))))</f>
        <v>0</v>
      </c>
      <c r="W4" s="10" t="str">
        <f aca="false">IF(V4=0,"",T4/V4)</f>
        <v/>
      </c>
      <c r="X4" s="10" t="n">
        <f aca="false">R4/N4</f>
        <v>1.02941176470588</v>
      </c>
      <c r="Y4" s="6" t="str">
        <f aca="false">IF(D4="aura",IF(R4&gt;Assumptions!$B$11,"ticks needed","pulse ok"),"")</f>
        <v/>
      </c>
      <c r="Z4" s="6" t="s">
        <v>65</v>
      </c>
    </row>
    <row r="5" customFormat="false" ht="15" hidden="false" customHeight="false" outlineLevel="0" collapsed="false">
      <c r="A5" s="6" t="s">
        <v>66</v>
      </c>
      <c r="B5" s="6" t="s">
        <v>67</v>
      </c>
      <c r="C5" s="6" t="s">
        <v>52</v>
      </c>
      <c r="D5" s="6" t="s">
        <v>62</v>
      </c>
      <c r="E5" s="6" t="s">
        <v>63</v>
      </c>
      <c r="F5" s="6" t="s">
        <v>64</v>
      </c>
      <c r="G5" s="9" t="n">
        <v>0</v>
      </c>
      <c r="H5" s="9" t="n">
        <v>30</v>
      </c>
      <c r="I5" s="9"/>
      <c r="J5" s="9"/>
      <c r="K5" s="9"/>
      <c r="L5" s="9"/>
      <c r="M5" s="9"/>
      <c r="N5" s="9" t="n">
        <v>0.85</v>
      </c>
      <c r="O5" s="7" t="n">
        <f aca="false">IF(AND(J5&lt;&gt;"",K5&lt;&gt;""),(J5+K5)/2,1)</f>
        <v>1</v>
      </c>
      <c r="P5" s="7" t="n">
        <f aca="false">G5*IF(I5="",100,I5)/100</f>
        <v>0</v>
      </c>
      <c r="Q5" s="7" t="n">
        <f aca="false">P5*O5</f>
        <v>0</v>
      </c>
      <c r="R5" s="10" t="n">
        <f aca="false">Assumptions!$B$4*(Assumptions!$B$5/H5)^Assumptions!$B$6</f>
        <v>0.583333333333333</v>
      </c>
      <c r="S5" s="10" t="n">
        <f aca="false">IF(D5="cone",MIN(L5,Assumptions!$B$8),IF(D5="orbit",L5*M5/(2*PI())*R5,IF(D5="boomerang",2,IF(D5="aura",IF(Assumptions!$B$10=1,R5/Assumptions!$B$7,1),IF(D5="trail",Assumptions!$B$9*R5/Assumptions!$B$7,1)))))</f>
        <v>1</v>
      </c>
      <c r="T5" s="7" t="n">
        <f aca="false">Q5/R5</f>
        <v>0</v>
      </c>
      <c r="U5" s="7" t="n">
        <f aca="false">Q5/S5</f>
        <v>0</v>
      </c>
      <c r="V5" s="7" t="n">
        <f aca="false">IF(D5="cone",G5*L5/N5,IF(D5="orbit",G5*L5*M5/(2*PI()),IF(D5="boomerang",G5*2/N5,IF(D5="projectile",G5*L5/N5,IF(D5="trail",G5*Assumptions!$B$9/0.5,G5/N5)))))</f>
        <v>0</v>
      </c>
      <c r="W5" s="10" t="str">
        <f aca="false">IF(V5=0,"",T5/V5)</f>
        <v/>
      </c>
      <c r="X5" s="10" t="n">
        <f aca="false">R5/N5</f>
        <v>0.686274509803922</v>
      </c>
      <c r="Y5" s="6" t="str">
        <f aca="false">IF(D5="aura",IF(R5&gt;Assumptions!$B$11,"ticks needed","pulse ok"),"")</f>
        <v/>
      </c>
      <c r="Z5" s="6" t="s">
        <v>65</v>
      </c>
    </row>
    <row r="6" customFormat="false" ht="15" hidden="false" customHeight="false" outlineLevel="0" collapsed="false">
      <c r="A6" s="6" t="s">
        <v>68</v>
      </c>
      <c r="B6" s="6" t="s">
        <v>69</v>
      </c>
      <c r="C6" s="6" t="s">
        <v>52</v>
      </c>
      <c r="D6" s="6" t="s">
        <v>62</v>
      </c>
      <c r="E6" s="6" t="s">
        <v>63</v>
      </c>
      <c r="F6" s="6" t="s">
        <v>64</v>
      </c>
      <c r="G6" s="9" t="n">
        <v>0</v>
      </c>
      <c r="H6" s="9" t="n">
        <v>30</v>
      </c>
      <c r="I6" s="9"/>
      <c r="J6" s="9"/>
      <c r="K6" s="9"/>
      <c r="L6" s="9"/>
      <c r="M6" s="9"/>
      <c r="N6" s="9" t="n">
        <v>0.85</v>
      </c>
      <c r="O6" s="7" t="n">
        <f aca="false">IF(AND(J6&lt;&gt;"",K6&lt;&gt;""),(J6+K6)/2,1)</f>
        <v>1</v>
      </c>
      <c r="P6" s="7" t="n">
        <f aca="false">G6*IF(I6="",100,I6)/100</f>
        <v>0</v>
      </c>
      <c r="Q6" s="7" t="n">
        <f aca="false">P6*O6</f>
        <v>0</v>
      </c>
      <c r="R6" s="10" t="n">
        <f aca="false">Assumptions!$B$4*(Assumptions!$B$5/H6)^Assumptions!$B$6</f>
        <v>0.583333333333333</v>
      </c>
      <c r="S6" s="10" t="n">
        <f aca="false">IF(D6="cone",MIN(L6,Assumptions!$B$8),IF(D6="orbit",L6*M6/(2*PI())*R6,IF(D6="boomerang",2,IF(D6="aura",IF(Assumptions!$B$10=1,R6/Assumptions!$B$7,1),IF(D6="trail",Assumptions!$B$9*R6/Assumptions!$B$7,1)))))</f>
        <v>1</v>
      </c>
      <c r="T6" s="7" t="n">
        <f aca="false">Q6/R6</f>
        <v>0</v>
      </c>
      <c r="U6" s="7" t="n">
        <f aca="false">Q6/S6</f>
        <v>0</v>
      </c>
      <c r="V6" s="7" t="n">
        <f aca="false">IF(D6="cone",G6*L6/N6,IF(D6="orbit",G6*L6*M6/(2*PI()),IF(D6="boomerang",G6*2/N6,IF(D6="projectile",G6*L6/N6,IF(D6="trail",G6*Assumptions!$B$9/0.5,G6/N6)))))</f>
        <v>0</v>
      </c>
      <c r="W6" s="10" t="str">
        <f aca="false">IF(V6=0,"",T6/V6)</f>
        <v/>
      </c>
      <c r="X6" s="10" t="n">
        <f aca="false">R6/N6</f>
        <v>0.686274509803922</v>
      </c>
      <c r="Y6" s="6" t="str">
        <f aca="false">IF(D6="aura",IF(R6&gt;Assumptions!$B$11,"ticks needed","pulse ok"),"")</f>
        <v/>
      </c>
      <c r="Z6" s="6" t="s">
        <v>65</v>
      </c>
    </row>
    <row r="7" customFormat="false" ht="15" hidden="false" customHeight="false" outlineLevel="0" collapsed="false">
      <c r="A7" s="6" t="s">
        <v>70</v>
      </c>
      <c r="B7" s="6" t="s">
        <v>71</v>
      </c>
      <c r="C7" s="6" t="s">
        <v>72</v>
      </c>
      <c r="D7" s="6" t="s">
        <v>73</v>
      </c>
      <c r="E7" s="6" t="s">
        <v>74</v>
      </c>
      <c r="F7" s="6" t="s">
        <v>75</v>
      </c>
      <c r="G7" s="9" t="n">
        <v>40</v>
      </c>
      <c r="H7" s="9" t="n">
        <v>25</v>
      </c>
      <c r="I7" s="9" t="n">
        <v>100</v>
      </c>
      <c r="J7" s="9"/>
      <c r="K7" s="9"/>
      <c r="L7" s="9" t="n">
        <v>1</v>
      </c>
      <c r="M7" s="9"/>
      <c r="N7" s="9" t="n">
        <v>0.52</v>
      </c>
      <c r="O7" s="7" t="n">
        <f aca="false">IF(AND(J7&lt;&gt;"",K7&lt;&gt;""),(J7+K7)/2,1)</f>
        <v>1</v>
      </c>
      <c r="P7" s="7" t="n">
        <f aca="false">G7*IF(I7="",100,I7)/100</f>
        <v>40</v>
      </c>
      <c r="Q7" s="7" t="n">
        <f aca="false">P7*O7</f>
        <v>40</v>
      </c>
      <c r="R7" s="10" t="n">
        <f aca="false">Assumptions!$B$4*(Assumptions!$B$5/H7)^Assumptions!$B$6</f>
        <v>0.7</v>
      </c>
      <c r="S7" s="10" t="n">
        <f aca="false">IF(D7="cone",MIN(L7,Assumptions!$B$8),IF(D7="orbit",L7*M7/(2*PI())*R7,IF(D7="boomerang",2,IF(D7="aura",IF(Assumptions!$B$10=1,R7/Assumptions!$B$7,1),IF(D7="trail",Assumptions!$B$9*R7/Assumptions!$B$7,1)))))</f>
        <v>1</v>
      </c>
      <c r="T7" s="7" t="n">
        <f aca="false">Q7/R7</f>
        <v>57.1428571428571</v>
      </c>
      <c r="U7" s="7" t="n">
        <f aca="false">Q7/S7</f>
        <v>40</v>
      </c>
      <c r="V7" s="7" t="n">
        <f aca="false">IF(D7="cone",G7*L7/N7,IF(D7="orbit",G7*L7*M7/(2*PI()),IF(D7="boomerang",G7*2/N7,IF(D7="projectile",G7*L7/N7,IF(D7="trail",G7*Assumptions!$B$9/0.5,G7/N7)))))</f>
        <v>76.9230769230769</v>
      </c>
      <c r="W7" s="10" t="n">
        <f aca="false">IF(V7=0,"",T7/V7)</f>
        <v>0.742857142857143</v>
      </c>
      <c r="X7" s="10" t="n">
        <f aca="false">R7/N7</f>
        <v>1.34615384615385</v>
      </c>
      <c r="Y7" s="6" t="str">
        <f aca="false">IF(D7="aura",IF(R7&gt;Assumptions!$B$11,"ticks needed","pulse ok"),"")</f>
        <v/>
      </c>
      <c r="Z7" s="6"/>
    </row>
    <row r="8" customFormat="false" ht="15" hidden="false" customHeight="false" outlineLevel="0" collapsed="false">
      <c r="A8" s="6" t="s">
        <v>76</v>
      </c>
      <c r="B8" s="6" t="s">
        <v>77</v>
      </c>
      <c r="C8" s="6" t="s">
        <v>72</v>
      </c>
      <c r="D8" s="6" t="s">
        <v>78</v>
      </c>
      <c r="E8" s="6" t="s">
        <v>79</v>
      </c>
      <c r="F8" s="6" t="s">
        <v>75</v>
      </c>
      <c r="G8" s="9" t="n">
        <v>90</v>
      </c>
      <c r="H8" s="9" t="n">
        <v>15</v>
      </c>
      <c r="I8" s="9" t="n">
        <v>100</v>
      </c>
      <c r="J8" s="9"/>
      <c r="K8" s="9"/>
      <c r="L8" s="9" t="n">
        <v>7</v>
      </c>
      <c r="M8" s="9"/>
      <c r="N8" s="9" t="n">
        <v>0.7</v>
      </c>
      <c r="O8" s="7" t="n">
        <f aca="false">IF(AND(J8&lt;&gt;"",K8&lt;&gt;""),(J8+K8)/2,1)</f>
        <v>1</v>
      </c>
      <c r="P8" s="7" t="n">
        <f aca="false">G8*IF(I8="",100,I8)/100</f>
        <v>90</v>
      </c>
      <c r="Q8" s="7" t="n">
        <f aca="false">P8*O8</f>
        <v>90</v>
      </c>
      <c r="R8" s="10" t="n">
        <f aca="false">Assumptions!$B$4*(Assumptions!$B$5/H8)^Assumptions!$B$6</f>
        <v>1.16666666666667</v>
      </c>
      <c r="S8" s="10" t="n">
        <f aca="false">IF(D8="cone",MIN(L8,Assumptions!$B$8),IF(D8="orbit",L8*M8/(2*PI())*R8,IF(D8="boomerang",2,IF(D8="aura",IF(Assumptions!$B$10=1,R8/Assumptions!$B$7,1),IF(D8="trail",Assumptions!$B$9*R8/Assumptions!$B$7,1)))))</f>
        <v>3</v>
      </c>
      <c r="T8" s="7" t="n">
        <f aca="false">Q8/R8</f>
        <v>77.1428571428571</v>
      </c>
      <c r="U8" s="7" t="n">
        <f aca="false">Q8/S8</f>
        <v>30</v>
      </c>
      <c r="V8" s="7" t="n">
        <f aca="false">IF(D8="cone",G8*L8/N8,IF(D8="orbit",G8*L8*M8/(2*PI()),IF(D8="boomerang",G8*2/N8,IF(D8="projectile",G8*L8/N8,IF(D8="trail",G8*Assumptions!$B$9/0.5,G8/N8)))))</f>
        <v>900</v>
      </c>
      <c r="W8" s="10" t="n">
        <f aca="false">IF(V8=0,"",T8/V8)</f>
        <v>0.0857142857142857</v>
      </c>
      <c r="X8" s="10" t="n">
        <f aca="false">R8/N8</f>
        <v>1.66666666666667</v>
      </c>
      <c r="Y8" s="6" t="str">
        <f aca="false">IF(D8="aura",IF(R8&gt;Assumptions!$B$11,"ticks needed","pulse ok"),"")</f>
        <v/>
      </c>
      <c r="Z8" s="6"/>
    </row>
    <row r="9" customFormat="false" ht="15" hidden="false" customHeight="false" outlineLevel="0" collapsed="false">
      <c r="A9" s="6" t="s">
        <v>80</v>
      </c>
      <c r="B9" s="6" t="s">
        <v>81</v>
      </c>
      <c r="C9" s="6" t="s">
        <v>72</v>
      </c>
      <c r="D9" s="6" t="s">
        <v>82</v>
      </c>
      <c r="E9" s="6" t="s">
        <v>83</v>
      </c>
      <c r="F9" s="6" t="s">
        <v>75</v>
      </c>
      <c r="G9" s="9" t="n">
        <v>35</v>
      </c>
      <c r="H9" s="9" t="n">
        <v>15</v>
      </c>
      <c r="I9" s="9" t="n">
        <v>85</v>
      </c>
      <c r="J9" s="9"/>
      <c r="K9" s="9"/>
      <c r="L9" s="9" t="n">
        <v>3</v>
      </c>
      <c r="M9" s="9" t="n">
        <v>2.4</v>
      </c>
      <c r="N9" s="9" t="n">
        <v>0.3</v>
      </c>
      <c r="O9" s="7" t="n">
        <f aca="false">IF(AND(J9&lt;&gt;"",K9&lt;&gt;""),(J9+K9)/2,1)</f>
        <v>1</v>
      </c>
      <c r="P9" s="7" t="n">
        <f aca="false">G9*IF(I9="",100,I9)/100</f>
        <v>29.75</v>
      </c>
      <c r="Q9" s="7" t="n">
        <f aca="false">P9*O9</f>
        <v>29.75</v>
      </c>
      <c r="R9" s="10" t="n">
        <f aca="false">Assumptions!$B$4*(Assumptions!$B$5/H9)^Assumptions!$B$6</f>
        <v>1.16666666666667</v>
      </c>
      <c r="S9" s="10" t="n">
        <f aca="false">IF(D9="cone",MIN(L9,Assumptions!$B$8),IF(D9="orbit",L9*M9/(2*PI())*R9,IF(D9="boomerang",2,IF(D9="aura",IF(Assumptions!$B$10=1,R9/Assumptions!$B$7,1),IF(D9="trail",Assumptions!$B$9*R9/Assumptions!$B$7,1)))))</f>
        <v>1.33690152197192</v>
      </c>
      <c r="T9" s="7" t="n">
        <f aca="false">Q9/R9</f>
        <v>25.5</v>
      </c>
      <c r="U9" s="7" t="n">
        <f aca="false">Q9/S9</f>
        <v>22.2529479629277</v>
      </c>
      <c r="V9" s="7" t="n">
        <f aca="false">IF(D9="cone",G9*L9/N9,IF(D9="orbit",G9*L9*M9/(2*PI()),IF(D9="boomerang",G9*2/N9,IF(D9="projectile",G9*L9/N9,IF(D9="trail",G9*Assumptions!$B$9/0.5,G9/N9)))))</f>
        <v>40.1070456591576</v>
      </c>
      <c r="W9" s="10" t="n">
        <f aca="false">IF(V9=0,"",T9/V9)</f>
        <v>0.635798513226506</v>
      </c>
      <c r="X9" s="10" t="n">
        <f aca="false">R9/N9</f>
        <v>3.88888888888889</v>
      </c>
      <c r="Y9" s="6" t="str">
        <f aca="false">IF(D9="aura",IF(R9&gt;Assumptions!$B$11,"ticks needed","pulse ok"),"")</f>
        <v/>
      </c>
      <c r="Z9" s="6"/>
    </row>
    <row r="10" customFormat="false" ht="15" hidden="false" customHeight="false" outlineLevel="0" collapsed="false">
      <c r="A10" s="6" t="s">
        <v>84</v>
      </c>
      <c r="B10" s="6" t="s">
        <v>85</v>
      </c>
      <c r="C10" s="6" t="s">
        <v>72</v>
      </c>
      <c r="D10" s="6" t="s">
        <v>86</v>
      </c>
      <c r="E10" s="6" t="s">
        <v>87</v>
      </c>
      <c r="F10" s="6" t="s">
        <v>75</v>
      </c>
      <c r="G10" s="9" t="n">
        <v>95</v>
      </c>
      <c r="H10" s="9" t="n">
        <v>10</v>
      </c>
      <c r="I10" s="9" t="n">
        <v>90</v>
      </c>
      <c r="J10" s="9"/>
      <c r="K10" s="9"/>
      <c r="L10" s="9" t="n">
        <v>10</v>
      </c>
      <c r="M10" s="9"/>
      <c r="N10" s="9" t="n">
        <v>1.25</v>
      </c>
      <c r="O10" s="7" t="n">
        <f aca="false">IF(AND(J10&lt;&gt;"",K10&lt;&gt;""),(J10+K10)/2,1)</f>
        <v>1</v>
      </c>
      <c r="P10" s="7" t="n">
        <f aca="false">G10*IF(I10="",100,I10)/100</f>
        <v>85.5</v>
      </c>
      <c r="Q10" s="7" t="n">
        <f aca="false">P10*O10</f>
        <v>85.5</v>
      </c>
      <c r="R10" s="10" t="n">
        <f aca="false">Assumptions!$B$4*(Assumptions!$B$5/H10)^Assumptions!$B$6</f>
        <v>1.75</v>
      </c>
      <c r="S10" s="10" t="n">
        <f aca="false">IF(D10="cone",MIN(L10,Assumptions!$B$8),IF(D10="orbit",L10*M10/(2*PI())*R10,IF(D10="boomerang",2,IF(D10="aura",IF(Assumptions!$B$10=1,R10/Assumptions!$B$7,1),IF(D10="trail",Assumptions!$B$9*R10/Assumptions!$B$7,1)))))</f>
        <v>1</v>
      </c>
      <c r="T10" s="7" t="n">
        <f aca="false">Q10/R10</f>
        <v>48.8571428571429</v>
      </c>
      <c r="U10" s="7" t="n">
        <f aca="false">Q10/S10</f>
        <v>85.5</v>
      </c>
      <c r="V10" s="7" t="n">
        <f aca="false">IF(D10="cone",G10*L10/N10,IF(D10="orbit",G10*L10*M10/(2*PI()),IF(D10="boomerang",G10*2/N10,IF(D10="projectile",G10*L10/N10,IF(D10="trail",G10*Assumptions!$B$9/0.5,G10/N10)))))</f>
        <v>76</v>
      </c>
      <c r="W10" s="10" t="n">
        <f aca="false">IF(V10=0,"",T10/V10)</f>
        <v>0.642857142857143</v>
      </c>
      <c r="X10" s="10" t="n">
        <f aca="false">R10/N10</f>
        <v>1.4</v>
      </c>
      <c r="Y10" s="6" t="str">
        <f aca="false">IF(D10="aura",IF(R10&gt;Assumptions!$B$11,"ticks needed","pulse ok"),"")</f>
        <v/>
      </c>
      <c r="Z10" s="6"/>
    </row>
    <row r="11" customFormat="false" ht="15" hidden="false" customHeight="false" outlineLevel="0" collapsed="false">
      <c r="A11" s="6" t="s">
        <v>88</v>
      </c>
      <c r="B11" s="6" t="s">
        <v>89</v>
      </c>
      <c r="C11" s="6" t="s">
        <v>90</v>
      </c>
      <c r="D11" s="6" t="s">
        <v>73</v>
      </c>
      <c r="E11" s="6" t="s">
        <v>74</v>
      </c>
      <c r="F11" s="6" t="s">
        <v>75</v>
      </c>
      <c r="G11" s="9" t="n">
        <v>40</v>
      </c>
      <c r="H11" s="9" t="n">
        <v>25</v>
      </c>
      <c r="I11" s="9" t="n">
        <v>100</v>
      </c>
      <c r="J11" s="9"/>
      <c r="K11" s="9"/>
      <c r="L11" s="9" t="n">
        <v>1</v>
      </c>
      <c r="M11" s="9"/>
      <c r="N11" s="9" t="n">
        <v>0.44</v>
      </c>
      <c r="O11" s="7" t="n">
        <f aca="false">IF(AND(J11&lt;&gt;"",K11&lt;&gt;""),(J11+K11)/2,1)</f>
        <v>1</v>
      </c>
      <c r="P11" s="7" t="n">
        <f aca="false">G11*IF(I11="",100,I11)/100</f>
        <v>40</v>
      </c>
      <c r="Q11" s="7" t="n">
        <f aca="false">P11*O11</f>
        <v>40</v>
      </c>
      <c r="R11" s="10" t="n">
        <f aca="false">Assumptions!$B$4*(Assumptions!$B$5/H11)^Assumptions!$B$6</f>
        <v>0.7</v>
      </c>
      <c r="S11" s="10" t="n">
        <f aca="false">IF(D11="cone",MIN(L11,Assumptions!$B$8),IF(D11="orbit",L11*M11/(2*PI())*R11,IF(D11="boomerang",2,IF(D11="aura",IF(Assumptions!$B$10=1,R11/Assumptions!$B$7,1),IF(D11="trail",Assumptions!$B$9*R11/Assumptions!$B$7,1)))))</f>
        <v>1</v>
      </c>
      <c r="T11" s="7" t="n">
        <f aca="false">Q11/R11</f>
        <v>57.1428571428571</v>
      </c>
      <c r="U11" s="7" t="n">
        <f aca="false">Q11/S11</f>
        <v>40</v>
      </c>
      <c r="V11" s="7" t="n">
        <f aca="false">IF(D11="cone",G11*L11/N11,IF(D11="orbit",G11*L11*M11/(2*PI()),IF(D11="boomerang",G11*2/N11,IF(D11="projectile",G11*L11/N11,IF(D11="trail",G11*Assumptions!$B$9/0.5,G11/N11)))))</f>
        <v>90.9090909090909</v>
      </c>
      <c r="W11" s="10" t="n">
        <f aca="false">IF(V11=0,"",T11/V11)</f>
        <v>0.628571428571429</v>
      </c>
      <c r="X11" s="10" t="n">
        <f aca="false">R11/N11</f>
        <v>1.59090909090909</v>
      </c>
      <c r="Y11" s="6" t="str">
        <f aca="false">IF(D11="aura",IF(R11&gt;Assumptions!$B$11,"ticks needed","pulse ok"),"")</f>
        <v/>
      </c>
      <c r="Z11" s="6"/>
    </row>
    <row r="12" customFormat="false" ht="15" hidden="false" customHeight="false" outlineLevel="0" collapsed="false">
      <c r="A12" s="6" t="s">
        <v>91</v>
      </c>
      <c r="B12" s="6" t="s">
        <v>92</v>
      </c>
      <c r="C12" s="6" t="s">
        <v>90</v>
      </c>
      <c r="D12" s="6" t="s">
        <v>86</v>
      </c>
      <c r="E12" s="6" t="s">
        <v>87</v>
      </c>
      <c r="F12" s="6" t="s">
        <v>75</v>
      </c>
      <c r="G12" s="9" t="n">
        <v>40</v>
      </c>
      <c r="H12" s="9" t="n">
        <v>30</v>
      </c>
      <c r="I12" s="9" t="n">
        <v>100</v>
      </c>
      <c r="J12" s="9"/>
      <c r="K12" s="9"/>
      <c r="L12" s="9" t="n">
        <v>8</v>
      </c>
      <c r="M12" s="9"/>
      <c r="N12" s="9" t="n">
        <v>1</v>
      </c>
      <c r="O12" s="7" t="n">
        <f aca="false">IF(AND(J12&lt;&gt;"",K12&lt;&gt;""),(J12+K12)/2,1)</f>
        <v>1</v>
      </c>
      <c r="P12" s="7" t="n">
        <f aca="false">G12*IF(I12="",100,I12)/100</f>
        <v>40</v>
      </c>
      <c r="Q12" s="7" t="n">
        <f aca="false">P12*O12</f>
        <v>40</v>
      </c>
      <c r="R12" s="10" t="n">
        <f aca="false">Assumptions!$B$4*(Assumptions!$B$5/H12)^Assumptions!$B$6</f>
        <v>0.583333333333333</v>
      </c>
      <c r="S12" s="10" t="n">
        <f aca="false">IF(D12="cone",MIN(L12,Assumptions!$B$8),IF(D12="orbit",L12*M12/(2*PI())*R12,IF(D12="boomerang",2,IF(D12="aura",IF(Assumptions!$B$10=1,R12/Assumptions!$B$7,1),IF(D12="trail",Assumptions!$B$9*R12/Assumptions!$B$7,1)))))</f>
        <v>1</v>
      </c>
      <c r="T12" s="7" t="n">
        <f aca="false">Q12/R12</f>
        <v>68.5714285714286</v>
      </c>
      <c r="U12" s="7" t="n">
        <f aca="false">Q12/S12</f>
        <v>40</v>
      </c>
      <c r="V12" s="7" t="n">
        <f aca="false">IF(D12="cone",G12*L12/N12,IF(D12="orbit",G12*L12*M12/(2*PI()),IF(D12="boomerang",G12*2/N12,IF(D12="projectile",G12*L12/N12,IF(D12="trail",G12*Assumptions!$B$9/0.5,G12/N12)))))</f>
        <v>40</v>
      </c>
      <c r="W12" s="10" t="n">
        <f aca="false">IF(V12=0,"",T12/V12)</f>
        <v>1.71428571428571</v>
      </c>
      <c r="X12" s="10" t="n">
        <f aca="false">R12/N12</f>
        <v>0.583333333333333</v>
      </c>
      <c r="Y12" s="6" t="str">
        <f aca="false">IF(D12="aura",IF(R12&gt;Assumptions!$B$11,"ticks needed","pulse ok"),"")</f>
        <v/>
      </c>
      <c r="Z12" s="6"/>
    </row>
    <row r="13" customFormat="false" ht="15" hidden="false" customHeight="false" outlineLevel="0" collapsed="false">
      <c r="A13" s="6" t="s">
        <v>93</v>
      </c>
      <c r="B13" s="6" t="s">
        <v>94</v>
      </c>
      <c r="C13" s="6" t="s">
        <v>90</v>
      </c>
      <c r="D13" s="6" t="s">
        <v>95</v>
      </c>
      <c r="E13" s="6" t="s">
        <v>96</v>
      </c>
      <c r="F13" s="6" t="s">
        <v>75</v>
      </c>
      <c r="G13" s="9" t="n">
        <v>110</v>
      </c>
      <c r="H13" s="9" t="n">
        <v>5</v>
      </c>
      <c r="I13" s="9" t="n">
        <v>80</v>
      </c>
      <c r="J13" s="9"/>
      <c r="K13" s="9"/>
      <c r="L13" s="9"/>
      <c r="M13" s="9"/>
      <c r="N13" s="9" t="n">
        <v>1.5</v>
      </c>
      <c r="O13" s="7" t="n">
        <f aca="false">IF(AND(J13&lt;&gt;"",K13&lt;&gt;""),(J13+K13)/2,1)</f>
        <v>1</v>
      </c>
      <c r="P13" s="7" t="n">
        <f aca="false">G13*IF(I13="",100,I13)/100</f>
        <v>88</v>
      </c>
      <c r="Q13" s="7" t="n">
        <f aca="false">P13*O13</f>
        <v>88</v>
      </c>
      <c r="R13" s="10" t="n">
        <f aca="false">Assumptions!$B$4*(Assumptions!$B$5/H13)^Assumptions!$B$6</f>
        <v>3.5</v>
      </c>
      <c r="S13" s="10" t="n">
        <f aca="false">IF(D13="cone",MIN(L13,Assumptions!$B$8),IF(D13="orbit",L13*M13/(2*PI())*R13,IF(D13="boomerang",2,IF(D13="aura",IF(Assumptions!$B$10=1,R13/Assumptions!$B$7,1),IF(D13="trail",Assumptions!$B$9*R13/Assumptions!$B$7,1)))))</f>
        <v>1</v>
      </c>
      <c r="T13" s="7" t="n">
        <f aca="false">Q13/R13</f>
        <v>25.1428571428571</v>
      </c>
      <c r="U13" s="7" t="n">
        <f aca="false">Q13/S13</f>
        <v>88</v>
      </c>
      <c r="V13" s="7" t="n">
        <f aca="false">IF(D13="cone",G13*L13/N13,IF(D13="orbit",G13*L13*M13/(2*PI()),IF(D13="boomerang",G13*2/N13,IF(D13="projectile",G13*L13/N13,IF(D13="trail",G13*Assumptions!$B$9/0.5,G13/N13)))))</f>
        <v>73.3333333333333</v>
      </c>
      <c r="W13" s="10" t="n">
        <f aca="false">IF(V13=0,"",T13/V13)</f>
        <v>0.342857142857143</v>
      </c>
      <c r="X13" s="10" t="n">
        <f aca="false">R13/N13</f>
        <v>2.33333333333333</v>
      </c>
      <c r="Y13" s="6" t="str">
        <f aca="false">IF(D13="aura",IF(R13&gt;Assumptions!$B$11,"ticks needed","pulse ok"),"")</f>
        <v/>
      </c>
      <c r="Z13" s="6"/>
    </row>
    <row r="14" customFormat="false" ht="15" hidden="false" customHeight="false" outlineLevel="0" collapsed="false">
      <c r="A14" s="6" t="s">
        <v>97</v>
      </c>
      <c r="B14" s="6" t="s">
        <v>98</v>
      </c>
      <c r="C14" s="6" t="s">
        <v>90</v>
      </c>
      <c r="D14" s="6" t="s">
        <v>62</v>
      </c>
      <c r="E14" s="6" t="s">
        <v>63</v>
      </c>
      <c r="F14" s="6" t="s">
        <v>64</v>
      </c>
      <c r="G14" s="9" t="n">
        <v>0</v>
      </c>
      <c r="H14" s="9" t="n">
        <v>20</v>
      </c>
      <c r="I14" s="9"/>
      <c r="J14" s="9"/>
      <c r="K14" s="9"/>
      <c r="L14" s="9"/>
      <c r="M14" s="9"/>
      <c r="N14" s="9" t="n">
        <v>0.9</v>
      </c>
      <c r="O14" s="7" t="n">
        <f aca="false">IF(AND(J14&lt;&gt;"",K14&lt;&gt;""),(J14+K14)/2,1)</f>
        <v>1</v>
      </c>
      <c r="P14" s="7" t="n">
        <f aca="false">G14*IF(I14="",100,I14)/100</f>
        <v>0</v>
      </c>
      <c r="Q14" s="7" t="n">
        <f aca="false">P14*O14</f>
        <v>0</v>
      </c>
      <c r="R14" s="10" t="n">
        <f aca="false">Assumptions!$B$4*(Assumptions!$B$5/H14)^Assumptions!$B$6</f>
        <v>0.875</v>
      </c>
      <c r="S14" s="10" t="n">
        <f aca="false">IF(D14="cone",MIN(L14,Assumptions!$B$8),IF(D14="orbit",L14*M14/(2*PI())*R14,IF(D14="boomerang",2,IF(D14="aura",IF(Assumptions!$B$10=1,R14/Assumptions!$B$7,1),IF(D14="trail",Assumptions!$B$9*R14/Assumptions!$B$7,1)))))</f>
        <v>1</v>
      </c>
      <c r="T14" s="7" t="n">
        <f aca="false">Q14/R14</f>
        <v>0</v>
      </c>
      <c r="U14" s="7" t="n">
        <f aca="false">Q14/S14</f>
        <v>0</v>
      </c>
      <c r="V14" s="7" t="n">
        <f aca="false">IF(D14="cone",G14*L14/N14,IF(D14="orbit",G14*L14*M14/(2*PI()),IF(D14="boomerang",G14*2/N14,IF(D14="projectile",G14*L14/N14,IF(D14="trail",G14*Assumptions!$B$9/0.5,G14/N14)))))</f>
        <v>0</v>
      </c>
      <c r="W14" s="10" t="str">
        <f aca="false">IF(V14=0,"",T14/V14)</f>
        <v/>
      </c>
      <c r="X14" s="10" t="n">
        <f aca="false">R14/N14</f>
        <v>0.972222222222222</v>
      </c>
      <c r="Y14" s="6" t="str">
        <f aca="false">IF(D14="aura",IF(R14&gt;Assumptions!$B$11,"ticks needed","pulse ok"),"")</f>
        <v/>
      </c>
      <c r="Z14" s="6" t="s">
        <v>65</v>
      </c>
    </row>
    <row r="15" customFormat="false" ht="15" hidden="false" customHeight="false" outlineLevel="0" collapsed="false">
      <c r="A15" s="6" t="s">
        <v>99</v>
      </c>
      <c r="B15" s="6" t="s">
        <v>100</v>
      </c>
      <c r="C15" s="6" t="s">
        <v>101</v>
      </c>
      <c r="D15" s="6" t="s">
        <v>53</v>
      </c>
      <c r="E15" s="6" t="s">
        <v>54</v>
      </c>
      <c r="F15" s="6" t="s">
        <v>55</v>
      </c>
      <c r="G15" s="9" t="n">
        <v>45</v>
      </c>
      <c r="H15" s="9" t="n">
        <v>25</v>
      </c>
      <c r="I15" s="9" t="n">
        <v>100</v>
      </c>
      <c r="J15" s="9"/>
      <c r="K15" s="9"/>
      <c r="L15" s="9"/>
      <c r="M15" s="9"/>
      <c r="N15" s="9" t="n">
        <v>0.62</v>
      </c>
      <c r="O15" s="7" t="n">
        <f aca="false">IF(AND(J15&lt;&gt;"",K15&lt;&gt;""),(J15+K15)/2,1)</f>
        <v>1</v>
      </c>
      <c r="P15" s="7" t="n">
        <f aca="false">G15*IF(I15="",100,I15)/100</f>
        <v>45</v>
      </c>
      <c r="Q15" s="7" t="n">
        <f aca="false">P15*O15</f>
        <v>45</v>
      </c>
      <c r="R15" s="10" t="n">
        <f aca="false">Assumptions!$B$4*(Assumptions!$B$5/H15)^Assumptions!$B$6</f>
        <v>0.7</v>
      </c>
      <c r="S15" s="10" t="n">
        <f aca="false">IF(D15="cone",MIN(L15,Assumptions!$B$8),IF(D15="orbit",L15*M15/(2*PI())*R15,IF(D15="boomerang",2,IF(D15="aura",IF(Assumptions!$B$10=1,R15/Assumptions!$B$7,1),IF(D15="trail",Assumptions!$B$9*R15/Assumptions!$B$7,1)))))</f>
        <v>1</v>
      </c>
      <c r="T15" s="7" t="n">
        <f aca="false">Q15/R15</f>
        <v>64.2857142857143</v>
      </c>
      <c r="U15" s="7" t="n">
        <f aca="false">Q15/S15</f>
        <v>45</v>
      </c>
      <c r="V15" s="7" t="n">
        <f aca="false">IF(D15="cone",G15*L15/N15,IF(D15="orbit",G15*L15*M15/(2*PI()),IF(D15="boomerang",G15*2/N15,IF(D15="projectile",G15*L15/N15,IF(D15="trail",G15*Assumptions!$B$9/0.5,G15/N15)))))</f>
        <v>72.5806451612903</v>
      </c>
      <c r="W15" s="10" t="n">
        <f aca="false">IF(V15=0,"",T15/V15)</f>
        <v>0.885714285714286</v>
      </c>
      <c r="X15" s="10" t="n">
        <f aca="false">R15/N15</f>
        <v>1.12903225806452</v>
      </c>
      <c r="Y15" s="6" t="str">
        <f aca="false">IF(D15="aura",IF(R15&gt;Assumptions!$B$11,"ticks needed","pulse ok"),"")</f>
        <v/>
      </c>
      <c r="Z15" s="6"/>
    </row>
    <row r="16" customFormat="false" ht="15" hidden="false" customHeight="false" outlineLevel="0" collapsed="false">
      <c r="A16" s="6" t="s">
        <v>102</v>
      </c>
      <c r="B16" s="6" t="s">
        <v>103</v>
      </c>
      <c r="C16" s="6" t="s">
        <v>101</v>
      </c>
      <c r="D16" s="6" t="s">
        <v>104</v>
      </c>
      <c r="E16" s="6" t="s">
        <v>105</v>
      </c>
      <c r="F16" s="6" t="s">
        <v>55</v>
      </c>
      <c r="G16" s="9" t="n">
        <v>55</v>
      </c>
      <c r="H16" s="9" t="n">
        <v>25</v>
      </c>
      <c r="I16" s="9" t="n">
        <v>95</v>
      </c>
      <c r="J16" s="9"/>
      <c r="K16" s="9"/>
      <c r="L16" s="9" t="n">
        <v>2</v>
      </c>
      <c r="M16" s="9"/>
      <c r="N16" s="9" t="n">
        <v>0.9</v>
      </c>
      <c r="O16" s="7" t="n">
        <f aca="false">IF(AND(J16&lt;&gt;"",K16&lt;&gt;""),(J16+K16)/2,1)</f>
        <v>1</v>
      </c>
      <c r="P16" s="7" t="n">
        <f aca="false">G16*IF(I16="",100,I16)/100</f>
        <v>52.25</v>
      </c>
      <c r="Q16" s="7" t="n">
        <f aca="false">P16*O16</f>
        <v>52.25</v>
      </c>
      <c r="R16" s="10" t="n">
        <f aca="false">Assumptions!$B$4*(Assumptions!$B$5/H16)^Assumptions!$B$6</f>
        <v>0.7</v>
      </c>
      <c r="S16" s="10" t="n">
        <f aca="false">IF(D16="cone",MIN(L16,Assumptions!$B$8),IF(D16="orbit",L16*M16/(2*PI())*R16,IF(D16="boomerang",2,IF(D16="aura",IF(Assumptions!$B$10=1,R16/Assumptions!$B$7,1),IF(D16="trail",Assumptions!$B$9*R16/Assumptions!$B$7,1)))))</f>
        <v>2</v>
      </c>
      <c r="T16" s="7" t="n">
        <f aca="false">Q16/R16</f>
        <v>74.6428571428572</v>
      </c>
      <c r="U16" s="7" t="n">
        <f aca="false">Q16/S16</f>
        <v>26.125</v>
      </c>
      <c r="V16" s="7" t="n">
        <f aca="false">IF(D16="cone",G16*L16/N16,IF(D16="orbit",G16*L16*M16/(2*PI()),IF(D16="boomerang",G16*2/N16,IF(D16="projectile",G16*L16/N16,IF(D16="trail",G16*Assumptions!$B$9/0.5,G16/N16)))))</f>
        <v>122.222222222222</v>
      </c>
      <c r="W16" s="10" t="n">
        <f aca="false">IF(V16=0,"",T16/V16)</f>
        <v>0.610714285714286</v>
      </c>
      <c r="X16" s="10" t="n">
        <f aca="false">R16/N16</f>
        <v>0.777777777777778</v>
      </c>
      <c r="Y16" s="6" t="str">
        <f aca="false">IF(D16="aura",IF(R16&gt;Assumptions!$B$11,"ticks needed","pulse ok"),"")</f>
        <v/>
      </c>
      <c r="Z16" s="6" t="s">
        <v>106</v>
      </c>
    </row>
    <row r="17" customFormat="false" ht="15" hidden="false" customHeight="false" outlineLevel="0" collapsed="false">
      <c r="A17" s="6" t="s">
        <v>107</v>
      </c>
      <c r="B17" s="6" t="s">
        <v>108</v>
      </c>
      <c r="C17" s="6" t="s">
        <v>101</v>
      </c>
      <c r="D17" s="6" t="s">
        <v>82</v>
      </c>
      <c r="E17" s="6" t="s">
        <v>83</v>
      </c>
      <c r="F17" s="6" t="s">
        <v>75</v>
      </c>
      <c r="G17" s="9" t="n">
        <v>130</v>
      </c>
      <c r="H17" s="9" t="n">
        <v>5</v>
      </c>
      <c r="I17" s="9" t="n">
        <v>90</v>
      </c>
      <c r="J17" s="9"/>
      <c r="K17" s="9"/>
      <c r="L17" s="9" t="n">
        <v>4</v>
      </c>
      <c r="M17" s="9" t="n">
        <v>2.6</v>
      </c>
      <c r="N17" s="9" t="n">
        <v>0.26</v>
      </c>
      <c r="O17" s="7" t="n">
        <f aca="false">IF(AND(J17&lt;&gt;"",K17&lt;&gt;""),(J17+K17)/2,1)</f>
        <v>1</v>
      </c>
      <c r="P17" s="7" t="n">
        <f aca="false">G17*IF(I17="",100,I17)/100</f>
        <v>117</v>
      </c>
      <c r="Q17" s="7" t="n">
        <f aca="false">P17*O17</f>
        <v>117</v>
      </c>
      <c r="R17" s="10" t="n">
        <f aca="false">Assumptions!$B$4*(Assumptions!$B$5/H17)^Assumptions!$B$6</f>
        <v>3.5</v>
      </c>
      <c r="S17" s="10" t="n">
        <f aca="false">IF(D17="cone",MIN(L17,Assumptions!$B$8),IF(D17="orbit",L17*M17/(2*PI())*R17,IF(D17="boomerang",2,IF(D17="aura",IF(Assumptions!$B$10=1,R17/Assumptions!$B$7,1),IF(D17="trail",Assumptions!$B$9*R17/Assumptions!$B$7,1)))))</f>
        <v>5.79323992854499</v>
      </c>
      <c r="T17" s="7" t="n">
        <f aca="false">Q17/R17</f>
        <v>33.4285714285714</v>
      </c>
      <c r="U17" s="7" t="n">
        <f aca="false">Q17/S17</f>
        <v>20.1959527730772</v>
      </c>
      <c r="V17" s="7" t="n">
        <f aca="false">IF(D17="cone",G17*L17/N17,IF(D17="orbit",G17*L17*M17/(2*PI()),IF(D17="boomerang",G17*2/N17,IF(D17="projectile",G17*L17/N17,IF(D17="trail",G17*Assumptions!$B$9/0.5,G17/N17)))))</f>
        <v>215.177483060243</v>
      </c>
      <c r="W17" s="10" t="n">
        <f aca="false">IF(V17=0,"",T17/V17)</f>
        <v>0.155353482869825</v>
      </c>
      <c r="X17" s="10" t="n">
        <f aca="false">R17/N17</f>
        <v>13.4615384615385</v>
      </c>
      <c r="Y17" s="6" t="str">
        <f aca="false">IF(D17="aura",IF(R17&gt;Assumptions!$B$11,"ticks needed","pulse ok"),"")</f>
        <v/>
      </c>
      <c r="Z17" s="6"/>
    </row>
    <row r="18" customFormat="false" ht="15" hidden="false" customHeight="false" outlineLevel="0" collapsed="false">
      <c r="A18" s="6" t="s">
        <v>109</v>
      </c>
      <c r="B18" s="6" t="s">
        <v>110</v>
      </c>
      <c r="C18" s="6" t="s">
        <v>101</v>
      </c>
      <c r="D18" s="6" t="s">
        <v>111</v>
      </c>
      <c r="E18" s="6" t="s">
        <v>112</v>
      </c>
      <c r="F18" s="6" t="s">
        <v>75</v>
      </c>
      <c r="G18" s="9" t="n">
        <v>75</v>
      </c>
      <c r="H18" s="9" t="n">
        <v>10</v>
      </c>
      <c r="I18" s="9" t="n">
        <v>100</v>
      </c>
      <c r="J18" s="9"/>
      <c r="K18" s="9"/>
      <c r="L18" s="9"/>
      <c r="M18" s="9"/>
      <c r="N18" s="9" t="n">
        <v>0.55</v>
      </c>
      <c r="O18" s="7" t="n">
        <f aca="false">IF(AND(J18&lt;&gt;"",K18&lt;&gt;""),(J18+K18)/2,1)</f>
        <v>1</v>
      </c>
      <c r="P18" s="7" t="n">
        <f aca="false">G18*IF(I18="",100,I18)/100</f>
        <v>75</v>
      </c>
      <c r="Q18" s="7" t="n">
        <f aca="false">P18*O18</f>
        <v>75</v>
      </c>
      <c r="R18" s="10" t="n">
        <f aca="false">Assumptions!$B$4*(Assumptions!$B$5/H18)^Assumptions!$B$6</f>
        <v>1.75</v>
      </c>
      <c r="S18" s="10" t="n">
        <f aca="false">IF(D18="cone",MIN(L18,Assumptions!$B$8),IF(D18="orbit",L18*M18/(2*PI())*R18,IF(D18="boomerang",2,IF(D18="aura",IF(Assumptions!$B$10=1,R18/Assumptions!$B$7,1),IF(D18="trail",Assumptions!$B$9*R18/Assumptions!$B$7,1)))))</f>
        <v>3.5</v>
      </c>
      <c r="T18" s="7" t="n">
        <f aca="false">Q18/R18</f>
        <v>42.8571428571429</v>
      </c>
      <c r="U18" s="7" t="n">
        <f aca="false">Q18/S18</f>
        <v>21.4285714285714</v>
      </c>
      <c r="V18" s="7" t="n">
        <f aca="false">IF(D18="cone",G18*L18/N18,IF(D18="orbit",G18*L18*M18/(2*PI()),IF(D18="boomerang",G18*2/N18,IF(D18="projectile",G18*L18/N18,IF(D18="trail",G18*Assumptions!$B$9/0.5,G18/N18)))))</f>
        <v>136.363636363636</v>
      </c>
      <c r="W18" s="10" t="n">
        <f aca="false">IF(V18=0,"",T18/V18)</f>
        <v>0.314285714285714</v>
      </c>
      <c r="X18" s="10" t="n">
        <f aca="false">R18/N18</f>
        <v>3.18181818181818</v>
      </c>
      <c r="Y18" s="6" t="str">
        <f aca="false">IF(D18="aura",IF(R18&gt;Assumptions!$B$11,"ticks needed","pulse ok"),"")</f>
        <v>ticks needed</v>
      </c>
      <c r="Z18" s="6"/>
    </row>
    <row r="19" customFormat="false" ht="15" hidden="false" customHeight="false" outlineLevel="0" collapsed="false">
      <c r="A19" s="6" t="s">
        <v>113</v>
      </c>
      <c r="B19" s="6" t="s">
        <v>114</v>
      </c>
      <c r="C19" s="6" t="s">
        <v>115</v>
      </c>
      <c r="D19" s="6" t="s">
        <v>73</v>
      </c>
      <c r="E19" s="6" t="s">
        <v>74</v>
      </c>
      <c r="F19" s="6" t="s">
        <v>75</v>
      </c>
      <c r="G19" s="9" t="n">
        <v>40</v>
      </c>
      <c r="H19" s="9" t="n">
        <v>30</v>
      </c>
      <c r="I19" s="9" t="n">
        <v>100</v>
      </c>
      <c r="J19" s="9"/>
      <c r="K19" s="9"/>
      <c r="L19" s="9" t="n">
        <v>1</v>
      </c>
      <c r="M19" s="9"/>
      <c r="N19" s="9" t="n">
        <v>0.4</v>
      </c>
      <c r="O19" s="7" t="n">
        <f aca="false">IF(AND(J19&lt;&gt;"",K19&lt;&gt;""),(J19+K19)/2,1)</f>
        <v>1</v>
      </c>
      <c r="P19" s="7" t="n">
        <f aca="false">G19*IF(I19="",100,I19)/100</f>
        <v>40</v>
      </c>
      <c r="Q19" s="7" t="n">
        <f aca="false">P19*O19</f>
        <v>40</v>
      </c>
      <c r="R19" s="10" t="n">
        <f aca="false">Assumptions!$B$4*(Assumptions!$B$5/H19)^Assumptions!$B$6</f>
        <v>0.583333333333333</v>
      </c>
      <c r="S19" s="10" t="n">
        <f aca="false">IF(D19="cone",MIN(L19,Assumptions!$B$8),IF(D19="orbit",L19*M19/(2*PI())*R19,IF(D19="boomerang",2,IF(D19="aura",IF(Assumptions!$B$10=1,R19/Assumptions!$B$7,1),IF(D19="trail",Assumptions!$B$9*R19/Assumptions!$B$7,1)))))</f>
        <v>1</v>
      </c>
      <c r="T19" s="7" t="n">
        <f aca="false">Q19/R19</f>
        <v>68.5714285714286</v>
      </c>
      <c r="U19" s="7" t="n">
        <f aca="false">Q19/S19</f>
        <v>40</v>
      </c>
      <c r="V19" s="7" t="n">
        <f aca="false">IF(D19="cone",G19*L19/N19,IF(D19="orbit",G19*L19*M19/(2*PI()),IF(D19="boomerang",G19*2/N19,IF(D19="projectile",G19*L19/N19,IF(D19="trail",G19*Assumptions!$B$9/0.5,G19/N19)))))</f>
        <v>100</v>
      </c>
      <c r="W19" s="10" t="n">
        <f aca="false">IF(V19=0,"",T19/V19)</f>
        <v>0.685714285714286</v>
      </c>
      <c r="X19" s="10" t="n">
        <f aca="false">R19/N19</f>
        <v>1.45833333333333</v>
      </c>
      <c r="Y19" s="6" t="str">
        <f aca="false">IF(D19="aura",IF(R19&gt;Assumptions!$B$11,"ticks needed","pulse ok"),"")</f>
        <v/>
      </c>
      <c r="Z19" s="6"/>
    </row>
    <row r="20" customFormat="false" ht="15" hidden="false" customHeight="false" outlineLevel="0" collapsed="false">
      <c r="A20" s="6" t="s">
        <v>116</v>
      </c>
      <c r="B20" s="6" t="s">
        <v>117</v>
      </c>
      <c r="C20" s="6" t="s">
        <v>115</v>
      </c>
      <c r="D20" s="6" t="s">
        <v>111</v>
      </c>
      <c r="E20" s="6" t="s">
        <v>112</v>
      </c>
      <c r="F20" s="6" t="s">
        <v>75</v>
      </c>
      <c r="G20" s="9" t="n">
        <v>80</v>
      </c>
      <c r="H20" s="9" t="n">
        <v>15</v>
      </c>
      <c r="I20" s="9" t="n">
        <v>100</v>
      </c>
      <c r="J20" s="9"/>
      <c r="K20" s="9"/>
      <c r="L20" s="9"/>
      <c r="M20" s="9"/>
      <c r="N20" s="9" t="n">
        <v>0.45</v>
      </c>
      <c r="O20" s="7" t="n">
        <f aca="false">IF(AND(J20&lt;&gt;"",K20&lt;&gt;""),(J20+K20)/2,1)</f>
        <v>1</v>
      </c>
      <c r="P20" s="7" t="n">
        <f aca="false">G20*IF(I20="",100,I20)/100</f>
        <v>80</v>
      </c>
      <c r="Q20" s="7" t="n">
        <f aca="false">P20*O20</f>
        <v>80</v>
      </c>
      <c r="R20" s="10" t="n">
        <f aca="false">Assumptions!$B$4*(Assumptions!$B$5/H20)^Assumptions!$B$6</f>
        <v>1.16666666666667</v>
      </c>
      <c r="S20" s="10" t="n">
        <f aca="false">IF(D20="cone",MIN(L20,Assumptions!$B$8),IF(D20="orbit",L20*M20/(2*PI())*R20,IF(D20="boomerang",2,IF(D20="aura",IF(Assumptions!$B$10=1,R20/Assumptions!$B$7,1),IF(D20="trail",Assumptions!$B$9*R20/Assumptions!$B$7,1)))))</f>
        <v>2.33333333333333</v>
      </c>
      <c r="T20" s="7" t="n">
        <f aca="false">Q20/R20</f>
        <v>68.5714285714286</v>
      </c>
      <c r="U20" s="7" t="n">
        <f aca="false">Q20/S20</f>
        <v>34.2857142857143</v>
      </c>
      <c r="V20" s="7" t="n">
        <f aca="false">IF(D20="cone",G20*L20/N20,IF(D20="orbit",G20*L20*M20/(2*PI()),IF(D20="boomerang",G20*2/N20,IF(D20="projectile",G20*L20/N20,IF(D20="trail",G20*Assumptions!$B$9/0.5,G20/N20)))))</f>
        <v>177.777777777778</v>
      </c>
      <c r="W20" s="10" t="n">
        <f aca="false">IF(V20=0,"",T20/V20)</f>
        <v>0.385714285714286</v>
      </c>
      <c r="X20" s="10" t="n">
        <f aca="false">R20/N20</f>
        <v>2.59259259259259</v>
      </c>
      <c r="Y20" s="6" t="str">
        <f aca="false">IF(D20="aura",IF(R20&gt;Assumptions!$B$11,"ticks needed","pulse ok"),"")</f>
        <v>ticks needed</v>
      </c>
      <c r="Z20" s="6"/>
    </row>
    <row r="21" customFormat="false" ht="15" hidden="false" customHeight="false" outlineLevel="0" collapsed="false">
      <c r="A21" s="6" t="s">
        <v>118</v>
      </c>
      <c r="B21" s="6" t="s">
        <v>119</v>
      </c>
      <c r="C21" s="6" t="s">
        <v>115</v>
      </c>
      <c r="D21" s="6" t="s">
        <v>120</v>
      </c>
      <c r="E21" s="6" t="s">
        <v>121</v>
      </c>
      <c r="F21" s="6" t="s">
        <v>75</v>
      </c>
      <c r="G21" s="9" t="n">
        <v>90</v>
      </c>
      <c r="H21" s="9" t="n">
        <v>15</v>
      </c>
      <c r="I21" s="9" t="n">
        <v>100</v>
      </c>
      <c r="J21" s="9"/>
      <c r="K21" s="9"/>
      <c r="L21" s="9" t="n">
        <v>4</v>
      </c>
      <c r="M21" s="9"/>
      <c r="N21" s="9" t="n">
        <v>0.95</v>
      </c>
      <c r="O21" s="7" t="n">
        <f aca="false">IF(AND(J21&lt;&gt;"",K21&lt;&gt;""),(J21+K21)/2,1)</f>
        <v>1</v>
      </c>
      <c r="P21" s="7" t="n">
        <f aca="false">G21*IF(I21="",100,I21)/100</f>
        <v>90</v>
      </c>
      <c r="Q21" s="7" t="n">
        <f aca="false">P21*O21</f>
        <v>90</v>
      </c>
      <c r="R21" s="10" t="n">
        <f aca="false">Assumptions!$B$4*(Assumptions!$B$5/H21)^Assumptions!$B$6</f>
        <v>1.16666666666667</v>
      </c>
      <c r="S21" s="10" t="n">
        <f aca="false">IF(D21="cone",MIN(L21,Assumptions!$B$8),IF(D21="orbit",L21*M21/(2*PI())*R21,IF(D21="boomerang",2,IF(D21="aura",IF(Assumptions!$B$10=1,R21/Assumptions!$B$7,1),IF(D21="trail",Assumptions!$B$9*R21/Assumptions!$B$7,1)))))</f>
        <v>1</v>
      </c>
      <c r="T21" s="7" t="n">
        <f aca="false">Q21/R21</f>
        <v>77.1428571428571</v>
      </c>
      <c r="U21" s="7" t="n">
        <f aca="false">Q21/S21</f>
        <v>90</v>
      </c>
      <c r="V21" s="7" t="n">
        <f aca="false">IF(D21="cone",G21*L21/N21,IF(D21="orbit",G21*L21*M21/(2*PI()),IF(D21="boomerang",G21*2/N21,IF(D21="projectile",G21*L21/N21,IF(D21="trail",G21*Assumptions!$B$9/0.5,G21/N21)))))</f>
        <v>94.7368421052632</v>
      </c>
      <c r="W21" s="10" t="n">
        <f aca="false">IF(V21=0,"",T21/V21)</f>
        <v>0.814285714285714</v>
      </c>
      <c r="X21" s="10" t="n">
        <f aca="false">R21/N21</f>
        <v>1.2280701754386</v>
      </c>
      <c r="Y21" s="6" t="str">
        <f aca="false">IF(D21="aura",IF(R21&gt;Assumptions!$B$11,"ticks needed","pulse ok"),"")</f>
        <v/>
      </c>
      <c r="Z21" s="6"/>
    </row>
    <row r="22" customFormat="false" ht="15" hidden="false" customHeight="false" outlineLevel="0" collapsed="false">
      <c r="A22" s="6" t="s">
        <v>122</v>
      </c>
      <c r="B22" s="6" t="s">
        <v>123</v>
      </c>
      <c r="C22" s="6" t="s">
        <v>124</v>
      </c>
      <c r="D22" s="6" t="s">
        <v>73</v>
      </c>
      <c r="E22" s="6" t="s">
        <v>74</v>
      </c>
      <c r="F22" s="6" t="s">
        <v>75</v>
      </c>
      <c r="G22" s="9" t="n">
        <v>50</v>
      </c>
      <c r="H22" s="9" t="n">
        <v>25</v>
      </c>
      <c r="I22" s="9" t="n">
        <v>100</v>
      </c>
      <c r="J22" s="9"/>
      <c r="K22" s="9"/>
      <c r="L22" s="9" t="n">
        <v>1</v>
      </c>
      <c r="M22" s="9"/>
      <c r="N22" s="9" t="n">
        <v>0.58</v>
      </c>
      <c r="O22" s="7" t="n">
        <f aca="false">IF(AND(J22&lt;&gt;"",K22&lt;&gt;""),(J22+K22)/2,1)</f>
        <v>1</v>
      </c>
      <c r="P22" s="7" t="n">
        <f aca="false">G22*IF(I22="",100,I22)/100</f>
        <v>50</v>
      </c>
      <c r="Q22" s="7" t="n">
        <f aca="false">P22*O22</f>
        <v>50</v>
      </c>
      <c r="R22" s="10" t="n">
        <f aca="false">Assumptions!$B$4*(Assumptions!$B$5/H22)^Assumptions!$B$6</f>
        <v>0.7</v>
      </c>
      <c r="S22" s="10" t="n">
        <f aca="false">IF(D22="cone",MIN(L22,Assumptions!$B$8),IF(D22="orbit",L22*M22/(2*PI())*R22,IF(D22="boomerang",2,IF(D22="aura",IF(Assumptions!$B$10=1,R22/Assumptions!$B$7,1),IF(D22="trail",Assumptions!$B$9*R22/Assumptions!$B$7,1)))))</f>
        <v>1</v>
      </c>
      <c r="T22" s="7" t="n">
        <f aca="false">Q22/R22</f>
        <v>71.4285714285714</v>
      </c>
      <c r="U22" s="7" t="n">
        <f aca="false">Q22/S22</f>
        <v>50</v>
      </c>
      <c r="V22" s="7" t="n">
        <f aca="false">IF(D22="cone",G22*L22/N22,IF(D22="orbit",G22*L22*M22/(2*PI()),IF(D22="boomerang",G22*2/N22,IF(D22="projectile",G22*L22/N22,IF(D22="trail",G22*Assumptions!$B$9/0.5,G22/N22)))))</f>
        <v>86.2068965517241</v>
      </c>
      <c r="W22" s="10" t="n">
        <f aca="false">IF(V22=0,"",T22/V22)</f>
        <v>0.828571428571429</v>
      </c>
      <c r="X22" s="10" t="n">
        <f aca="false">R22/N22</f>
        <v>1.20689655172414</v>
      </c>
      <c r="Y22" s="6" t="str">
        <f aca="false">IF(D22="aura",IF(R22&gt;Assumptions!$B$11,"ticks needed","pulse ok"),"")</f>
        <v/>
      </c>
      <c r="Z22" s="6"/>
    </row>
    <row r="23" customFormat="false" ht="15" hidden="false" customHeight="false" outlineLevel="0" collapsed="false">
      <c r="A23" s="6" t="s">
        <v>125</v>
      </c>
      <c r="B23" s="6" t="s">
        <v>126</v>
      </c>
      <c r="C23" s="6" t="s">
        <v>124</v>
      </c>
      <c r="D23" s="6" t="s">
        <v>95</v>
      </c>
      <c r="E23" s="6" t="s">
        <v>96</v>
      </c>
      <c r="F23" s="6" t="s">
        <v>75</v>
      </c>
      <c r="G23" s="9" t="n">
        <v>65</v>
      </c>
      <c r="H23" s="9" t="n">
        <v>20</v>
      </c>
      <c r="I23" s="9" t="n">
        <v>100</v>
      </c>
      <c r="J23" s="9"/>
      <c r="K23" s="9"/>
      <c r="L23" s="9"/>
      <c r="M23" s="9"/>
      <c r="N23" s="9" t="n">
        <v>1.15</v>
      </c>
      <c r="O23" s="7" t="n">
        <f aca="false">IF(AND(J23&lt;&gt;"",K23&lt;&gt;""),(J23+K23)/2,1)</f>
        <v>1</v>
      </c>
      <c r="P23" s="7" t="n">
        <f aca="false">G23*IF(I23="",100,I23)/100</f>
        <v>65</v>
      </c>
      <c r="Q23" s="7" t="n">
        <f aca="false">P23*O23</f>
        <v>65</v>
      </c>
      <c r="R23" s="10" t="n">
        <f aca="false">Assumptions!$B$4*(Assumptions!$B$5/H23)^Assumptions!$B$6</f>
        <v>0.875</v>
      </c>
      <c r="S23" s="10" t="n">
        <f aca="false">IF(D23="cone",MIN(L23,Assumptions!$B$8),IF(D23="orbit",L23*M23/(2*PI())*R23,IF(D23="boomerang",2,IF(D23="aura",IF(Assumptions!$B$10=1,R23/Assumptions!$B$7,1),IF(D23="trail",Assumptions!$B$9*R23/Assumptions!$B$7,1)))))</f>
        <v>1</v>
      </c>
      <c r="T23" s="7" t="n">
        <f aca="false">Q23/R23</f>
        <v>74.2857142857143</v>
      </c>
      <c r="U23" s="7" t="n">
        <f aca="false">Q23/S23</f>
        <v>65</v>
      </c>
      <c r="V23" s="7" t="n">
        <f aca="false">IF(D23="cone",G23*L23/N23,IF(D23="orbit",G23*L23*M23/(2*PI()),IF(D23="boomerang",G23*2/N23,IF(D23="projectile",G23*L23/N23,IF(D23="trail",G23*Assumptions!$B$9/0.5,G23/N23)))))</f>
        <v>56.5217391304348</v>
      </c>
      <c r="W23" s="10" t="n">
        <f aca="false">IF(V23=0,"",T23/V23)</f>
        <v>1.31428571428571</v>
      </c>
      <c r="X23" s="10" t="n">
        <f aca="false">R23/N23</f>
        <v>0.760869565217391</v>
      </c>
      <c r="Y23" s="6" t="str">
        <f aca="false">IF(D23="aura",IF(R23&gt;Assumptions!$B$11,"ticks needed","pulse ok"),"")</f>
        <v/>
      </c>
      <c r="Z23" s="6"/>
    </row>
    <row r="24" customFormat="false" ht="15" hidden="false" customHeight="false" outlineLevel="0" collapsed="false">
      <c r="A24" s="6" t="s">
        <v>124</v>
      </c>
      <c r="B24" s="6" t="s">
        <v>127</v>
      </c>
      <c r="C24" s="6" t="s">
        <v>124</v>
      </c>
      <c r="D24" s="6" t="s">
        <v>86</v>
      </c>
      <c r="E24" s="6" t="s">
        <v>87</v>
      </c>
      <c r="F24" s="6" t="s">
        <v>75</v>
      </c>
      <c r="G24" s="9" t="n">
        <v>90</v>
      </c>
      <c r="H24" s="9" t="n">
        <v>10</v>
      </c>
      <c r="I24" s="9" t="n">
        <v>100</v>
      </c>
      <c r="J24" s="9"/>
      <c r="K24" s="9"/>
      <c r="L24" s="9" t="n">
        <v>12</v>
      </c>
      <c r="M24" s="9"/>
      <c r="N24" s="9" t="n">
        <v>1.35</v>
      </c>
      <c r="O24" s="7" t="n">
        <f aca="false">IF(AND(J24&lt;&gt;"",K24&lt;&gt;""),(J24+K24)/2,1)</f>
        <v>1</v>
      </c>
      <c r="P24" s="7" t="n">
        <f aca="false">G24*IF(I24="",100,I24)/100</f>
        <v>90</v>
      </c>
      <c r="Q24" s="7" t="n">
        <f aca="false">P24*O24</f>
        <v>90</v>
      </c>
      <c r="R24" s="10" t="n">
        <f aca="false">Assumptions!$B$4*(Assumptions!$B$5/H24)^Assumptions!$B$6</f>
        <v>1.75</v>
      </c>
      <c r="S24" s="10" t="n">
        <f aca="false">IF(D24="cone",MIN(L24,Assumptions!$B$8),IF(D24="orbit",L24*M24/(2*PI())*R24,IF(D24="boomerang",2,IF(D24="aura",IF(Assumptions!$B$10=1,R24/Assumptions!$B$7,1),IF(D24="trail",Assumptions!$B$9*R24/Assumptions!$B$7,1)))))</f>
        <v>1</v>
      </c>
      <c r="T24" s="7" t="n">
        <f aca="false">Q24/R24</f>
        <v>51.4285714285714</v>
      </c>
      <c r="U24" s="7" t="n">
        <f aca="false">Q24/S24</f>
        <v>90</v>
      </c>
      <c r="V24" s="7" t="n">
        <f aca="false">IF(D24="cone",G24*L24/N24,IF(D24="orbit",G24*L24*M24/(2*PI()),IF(D24="boomerang",G24*2/N24,IF(D24="projectile",G24*L24/N24,IF(D24="trail",G24*Assumptions!$B$9/0.5,G24/N24)))))</f>
        <v>66.6666666666667</v>
      </c>
      <c r="W24" s="10" t="n">
        <f aca="false">IF(V24=0,"",T24/V24)</f>
        <v>0.771428571428572</v>
      </c>
      <c r="X24" s="10" t="n">
        <f aca="false">R24/N24</f>
        <v>1.2962962962963</v>
      </c>
      <c r="Y24" s="6" t="str">
        <f aca="false">IF(D24="aura",IF(R24&gt;Assumptions!$B$11,"ticks needed","pulse ok"),"")</f>
        <v/>
      </c>
      <c r="Z24" s="6"/>
    </row>
    <row r="25" customFormat="false" ht="15" hidden="false" customHeight="false" outlineLevel="0" collapsed="false">
      <c r="A25" s="6" t="s">
        <v>128</v>
      </c>
      <c r="B25" s="6" t="s">
        <v>129</v>
      </c>
      <c r="C25" s="6" t="s">
        <v>130</v>
      </c>
      <c r="D25" s="6" t="s">
        <v>73</v>
      </c>
      <c r="E25" s="6" t="s">
        <v>74</v>
      </c>
      <c r="F25" s="6" t="s">
        <v>75</v>
      </c>
      <c r="G25" s="9" t="n">
        <v>65</v>
      </c>
      <c r="H25" s="9" t="n">
        <v>20</v>
      </c>
      <c r="I25" s="9" t="n">
        <v>100</v>
      </c>
      <c r="J25" s="9"/>
      <c r="K25" s="9"/>
      <c r="L25" s="9" t="n">
        <v>1</v>
      </c>
      <c r="M25" s="9"/>
      <c r="N25" s="9" t="n">
        <v>0.6</v>
      </c>
      <c r="O25" s="7" t="n">
        <f aca="false">IF(AND(J25&lt;&gt;"",K25&lt;&gt;""),(J25+K25)/2,1)</f>
        <v>1</v>
      </c>
      <c r="P25" s="7" t="n">
        <f aca="false">G25*IF(I25="",100,I25)/100</f>
        <v>65</v>
      </c>
      <c r="Q25" s="7" t="n">
        <f aca="false">P25*O25</f>
        <v>65</v>
      </c>
      <c r="R25" s="10" t="n">
        <f aca="false">Assumptions!$B$4*(Assumptions!$B$5/H25)^Assumptions!$B$6</f>
        <v>0.875</v>
      </c>
      <c r="S25" s="10" t="n">
        <f aca="false">IF(D25="cone",MIN(L25,Assumptions!$B$8),IF(D25="orbit",L25*M25/(2*PI())*R25,IF(D25="boomerang",2,IF(D25="aura",IF(Assumptions!$B$10=1,R25/Assumptions!$B$7,1),IF(D25="trail",Assumptions!$B$9*R25/Assumptions!$B$7,1)))))</f>
        <v>1</v>
      </c>
      <c r="T25" s="7" t="n">
        <f aca="false">Q25/R25</f>
        <v>74.2857142857143</v>
      </c>
      <c r="U25" s="7" t="n">
        <f aca="false">Q25/S25</f>
        <v>65</v>
      </c>
      <c r="V25" s="7" t="n">
        <f aca="false">IF(D25="cone",G25*L25/N25,IF(D25="orbit",G25*L25*M25/(2*PI()),IF(D25="boomerang",G25*2/N25,IF(D25="projectile",G25*L25/N25,IF(D25="trail",G25*Assumptions!$B$9/0.5,G25/N25)))))</f>
        <v>108.333333333333</v>
      </c>
      <c r="W25" s="10" t="n">
        <f aca="false">IF(V25=0,"",T25/V25)</f>
        <v>0.685714285714286</v>
      </c>
      <c r="X25" s="10" t="n">
        <f aca="false">R25/N25</f>
        <v>1.45833333333333</v>
      </c>
      <c r="Y25" s="6" t="str">
        <f aca="false">IF(D25="aura",IF(R25&gt;Assumptions!$B$11,"ticks needed","pulse ok"),"")</f>
        <v/>
      </c>
      <c r="Z25" s="6"/>
    </row>
    <row r="26" customFormat="false" ht="15" hidden="false" customHeight="false" outlineLevel="0" collapsed="false">
      <c r="A26" s="6" t="s">
        <v>131</v>
      </c>
      <c r="B26" s="6" t="s">
        <v>132</v>
      </c>
      <c r="C26" s="6" t="s">
        <v>133</v>
      </c>
      <c r="D26" s="6" t="s">
        <v>86</v>
      </c>
      <c r="E26" s="6" t="s">
        <v>87</v>
      </c>
      <c r="F26" s="6" t="s">
        <v>75</v>
      </c>
      <c r="G26" s="9" t="n">
        <v>55</v>
      </c>
      <c r="H26" s="9" t="n">
        <v>15</v>
      </c>
      <c r="I26" s="9" t="n">
        <v>95</v>
      </c>
      <c r="J26" s="9"/>
      <c r="K26" s="9"/>
      <c r="L26" s="9" t="n">
        <v>7</v>
      </c>
      <c r="M26" s="9"/>
      <c r="N26" s="9" t="n">
        <v>1.1</v>
      </c>
      <c r="O26" s="7" t="n">
        <f aca="false">IF(AND(J26&lt;&gt;"",K26&lt;&gt;""),(J26+K26)/2,1)</f>
        <v>1</v>
      </c>
      <c r="P26" s="7" t="n">
        <f aca="false">G26*IF(I26="",100,I26)/100</f>
        <v>52.25</v>
      </c>
      <c r="Q26" s="7" t="n">
        <f aca="false">P26*O26</f>
        <v>52.25</v>
      </c>
      <c r="R26" s="10" t="n">
        <f aca="false">Assumptions!$B$4*(Assumptions!$B$5/H26)^Assumptions!$B$6</f>
        <v>1.16666666666667</v>
      </c>
      <c r="S26" s="10" t="n">
        <f aca="false">IF(D26="cone",MIN(L26,Assumptions!$B$8),IF(D26="orbit",L26*M26/(2*PI())*R26,IF(D26="boomerang",2,IF(D26="aura",IF(Assumptions!$B$10=1,R26/Assumptions!$B$7,1),IF(D26="trail",Assumptions!$B$9*R26/Assumptions!$B$7,1)))))</f>
        <v>1</v>
      </c>
      <c r="T26" s="7" t="n">
        <f aca="false">Q26/R26</f>
        <v>44.7857142857143</v>
      </c>
      <c r="U26" s="7" t="n">
        <f aca="false">Q26/S26</f>
        <v>52.25</v>
      </c>
      <c r="V26" s="7" t="n">
        <f aca="false">IF(D26="cone",G26*L26/N26,IF(D26="orbit",G26*L26*M26/(2*PI()),IF(D26="boomerang",G26*2/N26,IF(D26="projectile",G26*L26/N26,IF(D26="trail",G26*Assumptions!$B$9/0.5,G26/N26)))))</f>
        <v>50</v>
      </c>
      <c r="W26" s="10" t="n">
        <f aca="false">IF(V26=0,"",T26/V26)</f>
        <v>0.895714285714286</v>
      </c>
      <c r="X26" s="10" t="n">
        <f aca="false">R26/N26</f>
        <v>1.06060606060606</v>
      </c>
      <c r="Y26" s="6" t="str">
        <f aca="false">IF(D26="aura",IF(R26&gt;Assumptions!$B$11,"ticks needed","pulse ok"),"")</f>
        <v/>
      </c>
      <c r="Z26" s="6"/>
    </row>
    <row r="27" customFormat="false" ht="15" hidden="false" customHeight="false" outlineLevel="0" collapsed="false">
      <c r="A27" s="6" t="s">
        <v>134</v>
      </c>
      <c r="B27" s="6" t="s">
        <v>135</v>
      </c>
      <c r="C27" s="6" t="s">
        <v>136</v>
      </c>
      <c r="D27" s="6" t="s">
        <v>82</v>
      </c>
      <c r="E27" s="6" t="s">
        <v>83</v>
      </c>
      <c r="F27" s="6" t="s">
        <v>75</v>
      </c>
      <c r="G27" s="9" t="n">
        <v>40</v>
      </c>
      <c r="H27" s="9" t="n">
        <v>35</v>
      </c>
      <c r="I27" s="9" t="n">
        <v>100</v>
      </c>
      <c r="J27" s="9"/>
      <c r="K27" s="9"/>
      <c r="L27" s="9" t="n">
        <v>3</v>
      </c>
      <c r="M27" s="9" t="n">
        <v>2.8</v>
      </c>
      <c r="N27" s="9" t="n">
        <v>0.26</v>
      </c>
      <c r="O27" s="7" t="n">
        <f aca="false">IF(AND(J27&lt;&gt;"",K27&lt;&gt;""),(J27+K27)/2,1)</f>
        <v>1</v>
      </c>
      <c r="P27" s="7" t="n">
        <f aca="false">G27*IF(I27="",100,I27)/100</f>
        <v>40</v>
      </c>
      <c r="Q27" s="7" t="n">
        <f aca="false">P27*O27</f>
        <v>40</v>
      </c>
      <c r="R27" s="10" t="n">
        <f aca="false">Assumptions!$B$4*(Assumptions!$B$5/H27)^Assumptions!$B$6</f>
        <v>0.5</v>
      </c>
      <c r="S27" s="10" t="n">
        <f aca="false">IF(D27="cone",MIN(L27,Assumptions!$B$8),IF(D27="orbit",L27*M27/(2*PI())*R27,IF(D27="boomerang",2,IF(D27="aura",IF(Assumptions!$B$10=1,R27/Assumptions!$B$7,1),IF(D27="trail",Assumptions!$B$9*R27/Assumptions!$B$7,1)))))</f>
        <v>0.66845076098596</v>
      </c>
      <c r="T27" s="7" t="n">
        <f aca="false">Q27/R27</f>
        <v>80</v>
      </c>
      <c r="U27" s="7" t="n">
        <f aca="false">Q27/S27</f>
        <v>59.839860068377</v>
      </c>
      <c r="V27" s="7" t="n">
        <f aca="false">IF(D27="cone",G27*L27/N27,IF(D27="orbit",G27*L27*M27/(2*PI()),IF(D27="boomerang",G27*2/N27,IF(D27="projectile",G27*L27/N27,IF(D27="trail",G27*Assumptions!$B$9/0.5,G27/N27)))))</f>
        <v>53.4760608788768</v>
      </c>
      <c r="W27" s="10" t="n">
        <f aca="false">IF(V27=0,"",T27/V27)</f>
        <v>1.49599650170943</v>
      </c>
      <c r="X27" s="10" t="n">
        <f aca="false">R27/N27</f>
        <v>1.92307692307692</v>
      </c>
      <c r="Y27" s="6" t="str">
        <f aca="false">IF(D27="aura",IF(R27&gt;Assumptions!$B$11,"ticks needed","pulse ok"),"")</f>
        <v/>
      </c>
      <c r="Z27" s="6"/>
    </row>
    <row r="28" customFormat="false" ht="15" hidden="false" customHeight="false" outlineLevel="0" collapsed="false">
      <c r="A28" s="6" t="s">
        <v>137</v>
      </c>
      <c r="B28" s="6" t="s">
        <v>138</v>
      </c>
      <c r="C28" s="6" t="s">
        <v>136</v>
      </c>
      <c r="D28" s="6" t="s">
        <v>53</v>
      </c>
      <c r="E28" s="6" t="s">
        <v>54</v>
      </c>
      <c r="F28" s="6" t="s">
        <v>55</v>
      </c>
      <c r="G28" s="9" t="n">
        <v>60</v>
      </c>
      <c r="H28" s="9" t="n">
        <v>35</v>
      </c>
      <c r="I28" s="9" t="n">
        <v>100</v>
      </c>
      <c r="J28" s="9"/>
      <c r="K28" s="9"/>
      <c r="L28" s="9"/>
      <c r="M28" s="9"/>
      <c r="N28" s="9" t="n">
        <v>0.55</v>
      </c>
      <c r="O28" s="7" t="n">
        <f aca="false">IF(AND(J28&lt;&gt;"",K28&lt;&gt;""),(J28+K28)/2,1)</f>
        <v>1</v>
      </c>
      <c r="P28" s="7" t="n">
        <f aca="false">G28*IF(I28="",100,I28)/100</f>
        <v>60</v>
      </c>
      <c r="Q28" s="7" t="n">
        <f aca="false">P28*O28</f>
        <v>60</v>
      </c>
      <c r="R28" s="10" t="n">
        <f aca="false">Assumptions!$B$4*(Assumptions!$B$5/H28)^Assumptions!$B$6</f>
        <v>0.5</v>
      </c>
      <c r="S28" s="10" t="n">
        <f aca="false">IF(D28="cone",MIN(L28,Assumptions!$B$8),IF(D28="orbit",L28*M28/(2*PI())*R28,IF(D28="boomerang",2,IF(D28="aura",IF(Assumptions!$B$10=1,R28/Assumptions!$B$7,1),IF(D28="trail",Assumptions!$B$9*R28/Assumptions!$B$7,1)))))</f>
        <v>1</v>
      </c>
      <c r="T28" s="7" t="n">
        <f aca="false">Q28/R28</f>
        <v>120</v>
      </c>
      <c r="U28" s="7" t="n">
        <f aca="false">Q28/S28</f>
        <v>60</v>
      </c>
      <c r="V28" s="7" t="n">
        <f aca="false">IF(D28="cone",G28*L28/N28,IF(D28="orbit",G28*L28*M28/(2*PI()),IF(D28="boomerang",G28*2/N28,IF(D28="projectile",G28*L28/N28,IF(D28="trail",G28*Assumptions!$B$9/0.5,G28/N28)))))</f>
        <v>109.090909090909</v>
      </c>
      <c r="W28" s="10" t="n">
        <f aca="false">IF(V28=0,"",T28/V28)</f>
        <v>1.1</v>
      </c>
      <c r="X28" s="10" t="n">
        <f aca="false">R28/N28</f>
        <v>0.909090909090909</v>
      </c>
      <c r="Y28" s="6" t="str">
        <f aca="false">IF(D28="aura",IF(R28&gt;Assumptions!$B$11,"ticks needed","pulse ok"),"")</f>
        <v/>
      </c>
      <c r="Z28" s="6"/>
    </row>
    <row r="29" customFormat="false" ht="15" hidden="false" customHeight="false" outlineLevel="0" collapsed="false">
      <c r="A29" s="6" t="s">
        <v>139</v>
      </c>
      <c r="B29" s="6" t="s">
        <v>140</v>
      </c>
      <c r="C29" s="6" t="s">
        <v>52</v>
      </c>
      <c r="D29" s="6" t="s">
        <v>53</v>
      </c>
      <c r="E29" s="6" t="s">
        <v>54</v>
      </c>
      <c r="F29" s="6" t="s">
        <v>55</v>
      </c>
      <c r="G29" s="9" t="n">
        <v>85</v>
      </c>
      <c r="H29" s="9" t="n">
        <v>15</v>
      </c>
      <c r="I29" s="9" t="n">
        <v>100</v>
      </c>
      <c r="J29" s="9"/>
      <c r="K29" s="9"/>
      <c r="L29" s="9"/>
      <c r="M29" s="9"/>
      <c r="N29" s="9" t="n">
        <v>0.95</v>
      </c>
      <c r="O29" s="7" t="n">
        <f aca="false">IF(AND(J29&lt;&gt;"",K29&lt;&gt;""),(J29+K29)/2,1)</f>
        <v>1</v>
      </c>
      <c r="P29" s="7" t="n">
        <f aca="false">G29*IF(I29="",100,I29)/100</f>
        <v>85</v>
      </c>
      <c r="Q29" s="7" t="n">
        <f aca="false">P29*O29</f>
        <v>85</v>
      </c>
      <c r="R29" s="10" t="n">
        <f aca="false">Assumptions!$B$4*(Assumptions!$B$5/H29)^Assumptions!$B$6</f>
        <v>1.16666666666667</v>
      </c>
      <c r="S29" s="10" t="n">
        <f aca="false">IF(D29="cone",MIN(L29,Assumptions!$B$8),IF(D29="orbit",L29*M29/(2*PI())*R29,IF(D29="boomerang",2,IF(D29="aura",IF(Assumptions!$B$10=1,R29/Assumptions!$B$7,1),IF(D29="trail",Assumptions!$B$9*R29/Assumptions!$B$7,1)))))</f>
        <v>1</v>
      </c>
      <c r="T29" s="7" t="n">
        <f aca="false">Q29/R29</f>
        <v>72.8571428571429</v>
      </c>
      <c r="U29" s="7" t="n">
        <f aca="false">Q29/S29</f>
        <v>85</v>
      </c>
      <c r="V29" s="7" t="n">
        <f aca="false">IF(D29="cone",G29*L29/N29,IF(D29="orbit",G29*L29*M29/(2*PI()),IF(D29="boomerang",G29*2/N29,IF(D29="projectile",G29*L29/N29,IF(D29="trail",G29*Assumptions!$B$9/0.5,G29/N29)))))</f>
        <v>89.4736842105263</v>
      </c>
      <c r="W29" s="10" t="n">
        <f aca="false">IF(V29=0,"",T29/V29)</f>
        <v>0.814285714285714</v>
      </c>
      <c r="X29" s="10" t="n">
        <f aca="false">R29/N29</f>
        <v>1.2280701754386</v>
      </c>
      <c r="Y29" s="6" t="str">
        <f aca="false">IF(D29="aura",IF(R29&gt;Assumptions!$B$11,"ticks needed","pulse ok"),"")</f>
        <v/>
      </c>
      <c r="Z29" s="6"/>
    </row>
    <row r="30" customFormat="false" ht="15" hidden="false" customHeight="false" outlineLevel="0" collapsed="false">
      <c r="A30" s="6" t="s">
        <v>141</v>
      </c>
      <c r="B30" s="6" t="s">
        <v>142</v>
      </c>
      <c r="C30" s="6" t="s">
        <v>52</v>
      </c>
      <c r="D30" s="6" t="s">
        <v>86</v>
      </c>
      <c r="E30" s="6" t="s">
        <v>87</v>
      </c>
      <c r="F30" s="6" t="s">
        <v>75</v>
      </c>
      <c r="G30" s="9" t="n">
        <v>90</v>
      </c>
      <c r="H30" s="9" t="n">
        <v>10</v>
      </c>
      <c r="I30" s="9" t="n">
        <v>100</v>
      </c>
      <c r="J30" s="9"/>
      <c r="K30" s="9"/>
      <c r="L30" s="9" t="n">
        <v>9</v>
      </c>
      <c r="M30" s="9"/>
      <c r="N30" s="9" t="n">
        <v>1.15</v>
      </c>
      <c r="O30" s="7" t="n">
        <f aca="false">IF(AND(J30&lt;&gt;"",K30&lt;&gt;""),(J30+K30)/2,1)</f>
        <v>1</v>
      </c>
      <c r="P30" s="7" t="n">
        <f aca="false">G30*IF(I30="",100,I30)/100</f>
        <v>90</v>
      </c>
      <c r="Q30" s="7" t="n">
        <f aca="false">P30*O30</f>
        <v>90</v>
      </c>
      <c r="R30" s="10" t="n">
        <f aca="false">Assumptions!$B$4*(Assumptions!$B$5/H30)^Assumptions!$B$6</f>
        <v>1.75</v>
      </c>
      <c r="S30" s="10" t="n">
        <f aca="false">IF(D30="cone",MIN(L30,Assumptions!$B$8),IF(D30="orbit",L30*M30/(2*PI())*R30,IF(D30="boomerang",2,IF(D30="aura",IF(Assumptions!$B$10=1,R30/Assumptions!$B$7,1),IF(D30="trail",Assumptions!$B$9*R30/Assumptions!$B$7,1)))))</f>
        <v>1</v>
      </c>
      <c r="T30" s="7" t="n">
        <f aca="false">Q30/R30</f>
        <v>51.4285714285714</v>
      </c>
      <c r="U30" s="7" t="n">
        <f aca="false">Q30/S30</f>
        <v>90</v>
      </c>
      <c r="V30" s="7" t="n">
        <f aca="false">IF(D30="cone",G30*L30/N30,IF(D30="orbit",G30*L30*M30/(2*PI()),IF(D30="boomerang",G30*2/N30,IF(D30="projectile",G30*L30/N30,IF(D30="trail",G30*Assumptions!$B$9/0.5,G30/N30)))))</f>
        <v>78.2608695652174</v>
      </c>
      <c r="W30" s="10" t="n">
        <f aca="false">IF(V30=0,"",T30/V30)</f>
        <v>0.657142857142857</v>
      </c>
      <c r="X30" s="10" t="n">
        <f aca="false">R30/N30</f>
        <v>1.52173913043478</v>
      </c>
      <c r="Y30" s="6" t="str">
        <f aca="false">IF(D30="aura",IF(R30&gt;Assumptions!$B$11,"ticks needed","pulse ok"),"")</f>
        <v/>
      </c>
      <c r="Z30" s="6"/>
    </row>
    <row r="31" customFormat="false" ht="15" hidden="false" customHeight="false" outlineLevel="0" collapsed="false">
      <c r="A31" s="6" t="s">
        <v>143</v>
      </c>
      <c r="B31" s="6" t="s">
        <v>144</v>
      </c>
      <c r="C31" s="6" t="s">
        <v>130</v>
      </c>
      <c r="D31" s="6" t="s">
        <v>73</v>
      </c>
      <c r="E31" s="6" t="s">
        <v>74</v>
      </c>
      <c r="F31" s="6" t="s">
        <v>55</v>
      </c>
      <c r="G31" s="9" t="n">
        <v>15</v>
      </c>
      <c r="H31" s="9" t="n">
        <v>35</v>
      </c>
      <c r="I31" s="9" t="n">
        <v>100</v>
      </c>
      <c r="J31" s="9"/>
      <c r="K31" s="9"/>
      <c r="L31" s="9" t="n">
        <v>1</v>
      </c>
      <c r="M31" s="9"/>
      <c r="N31" s="9" t="n">
        <v>0.34</v>
      </c>
      <c r="O31" s="7" t="n">
        <f aca="false">IF(AND(J31&lt;&gt;"",K31&lt;&gt;""),(J31+K31)/2,1)</f>
        <v>1</v>
      </c>
      <c r="P31" s="7" t="n">
        <f aca="false">G31*IF(I31="",100,I31)/100</f>
        <v>15</v>
      </c>
      <c r="Q31" s="7" t="n">
        <f aca="false">P31*O31</f>
        <v>15</v>
      </c>
      <c r="R31" s="10" t="n">
        <f aca="false">Assumptions!$B$4*(Assumptions!$B$5/H31)^Assumptions!$B$6</f>
        <v>0.5</v>
      </c>
      <c r="S31" s="10" t="n">
        <f aca="false">IF(D31="cone",MIN(L31,Assumptions!$B$8),IF(D31="orbit",L31*M31/(2*PI())*R31,IF(D31="boomerang",2,IF(D31="aura",IF(Assumptions!$B$10=1,R31/Assumptions!$B$7,1),IF(D31="trail",Assumptions!$B$9*R31/Assumptions!$B$7,1)))))</f>
        <v>1</v>
      </c>
      <c r="T31" s="7" t="n">
        <f aca="false">Q31/R31</f>
        <v>30</v>
      </c>
      <c r="U31" s="7" t="n">
        <f aca="false">Q31/S31</f>
        <v>15</v>
      </c>
      <c r="V31" s="7" t="n">
        <f aca="false">IF(D31="cone",G31*L31/N31,IF(D31="orbit",G31*L31*M31/(2*PI()),IF(D31="boomerang",G31*2/N31,IF(D31="projectile",G31*L31/N31,IF(D31="trail",G31*Assumptions!$B$9/0.5,G31/N31)))))</f>
        <v>44.1176470588235</v>
      </c>
      <c r="W31" s="10" t="n">
        <f aca="false">IF(V31=0,"",T31/V31)</f>
        <v>0.68</v>
      </c>
      <c r="X31" s="10" t="n">
        <f aca="false">R31/N31</f>
        <v>1.47058823529412</v>
      </c>
      <c r="Y31" s="6" t="str">
        <f aca="false">IF(D31="aura",IF(R31&gt;Assumptions!$B$11,"ticks needed","pulse ok"),"")</f>
        <v/>
      </c>
      <c r="Z31" s="6"/>
    </row>
    <row r="32" customFormat="false" ht="15" hidden="false" customHeight="false" outlineLevel="0" collapsed="false">
      <c r="A32" s="6" t="s">
        <v>145</v>
      </c>
      <c r="B32" s="6" t="s">
        <v>146</v>
      </c>
      <c r="C32" s="6" t="s">
        <v>130</v>
      </c>
      <c r="D32" s="6" t="s">
        <v>147</v>
      </c>
      <c r="E32" s="6" t="s">
        <v>148</v>
      </c>
      <c r="F32" s="6" t="s">
        <v>64</v>
      </c>
      <c r="G32" s="9" t="n">
        <v>0</v>
      </c>
      <c r="H32" s="9" t="n">
        <v>10</v>
      </c>
      <c r="I32" s="9" t="n">
        <v>90</v>
      </c>
      <c r="J32" s="9"/>
      <c r="K32" s="9"/>
      <c r="L32" s="9"/>
      <c r="M32" s="9"/>
      <c r="N32" s="9" t="n">
        <v>0.3</v>
      </c>
      <c r="O32" s="7" t="n">
        <f aca="false">IF(AND(J32&lt;&gt;"",K32&lt;&gt;""),(J32+K32)/2,1)</f>
        <v>1</v>
      </c>
      <c r="P32" s="7" t="n">
        <f aca="false">G32*IF(I32="",100,I32)/100</f>
        <v>0</v>
      </c>
      <c r="Q32" s="7" t="n">
        <f aca="false">P32*O32</f>
        <v>0</v>
      </c>
      <c r="R32" s="10" t="n">
        <f aca="false">Assumptions!$B$4*(Assumptions!$B$5/H32)^Assumptions!$B$6</f>
        <v>1.75</v>
      </c>
      <c r="S32" s="10" t="n">
        <f aca="false">IF(D32="cone",MIN(L32,Assumptions!$B$8),IF(D32="orbit",L32*M32/(2*PI())*R32,IF(D32="boomerang",2,IF(D32="aura",IF(Assumptions!$B$10=1,R32/Assumptions!$B$7,1),IF(D32="trail",Assumptions!$B$9*R32/Assumptions!$B$7,1)))))</f>
        <v>7</v>
      </c>
      <c r="T32" s="7" t="n">
        <f aca="false">Q32/R32</f>
        <v>0</v>
      </c>
      <c r="U32" s="7" t="n">
        <f aca="false">Q32/S32</f>
        <v>0</v>
      </c>
      <c r="V32" s="7" t="n">
        <f aca="false">IF(D32="cone",G32*L32/N32,IF(D32="orbit",G32*L32*M32/(2*PI()),IF(D32="boomerang",G32*2/N32,IF(D32="projectile",G32*L32/N32,IF(D32="trail",G32*Assumptions!$B$9/0.5,G32/N32)))))</f>
        <v>0</v>
      </c>
      <c r="W32" s="10" t="str">
        <f aca="false">IF(V32=0,"",T32/V32)</f>
        <v/>
      </c>
      <c r="X32" s="10" t="n">
        <f aca="false">R32/N32</f>
        <v>5.83333333333333</v>
      </c>
      <c r="Y32" s="6" t="str">
        <f aca="false">IF(D32="aura",IF(R32&gt;Assumptions!$B$11,"ticks needed","pulse ok"),"")</f>
        <v/>
      </c>
      <c r="Z32" s="6" t="s">
        <v>149</v>
      </c>
    </row>
    <row r="33" customFormat="false" ht="15" hidden="false" customHeight="false" outlineLevel="0" collapsed="false">
      <c r="A33" s="6" t="s">
        <v>150</v>
      </c>
      <c r="B33" s="6" t="s">
        <v>151</v>
      </c>
      <c r="C33" s="6" t="s">
        <v>133</v>
      </c>
      <c r="D33" s="6" t="s">
        <v>111</v>
      </c>
      <c r="E33" s="6" t="s">
        <v>112</v>
      </c>
      <c r="F33" s="6" t="s">
        <v>55</v>
      </c>
      <c r="G33" s="9" t="n">
        <v>60</v>
      </c>
      <c r="H33" s="9" t="n">
        <v>20</v>
      </c>
      <c r="I33" s="9" t="n">
        <v>100</v>
      </c>
      <c r="J33" s="9"/>
      <c r="K33" s="9"/>
      <c r="L33" s="9"/>
      <c r="M33" s="9"/>
      <c r="N33" s="9" t="n">
        <v>0.7</v>
      </c>
      <c r="O33" s="7" t="n">
        <f aca="false">IF(AND(J33&lt;&gt;"",K33&lt;&gt;""),(J33+K33)/2,1)</f>
        <v>1</v>
      </c>
      <c r="P33" s="7" t="n">
        <f aca="false">G33*IF(I33="",100,I33)/100</f>
        <v>60</v>
      </c>
      <c r="Q33" s="7" t="n">
        <f aca="false">P33*O33</f>
        <v>60</v>
      </c>
      <c r="R33" s="10" t="n">
        <f aca="false">Assumptions!$B$4*(Assumptions!$B$5/H33)^Assumptions!$B$6</f>
        <v>0.875</v>
      </c>
      <c r="S33" s="10" t="n">
        <f aca="false">IF(D33="cone",MIN(L33,Assumptions!$B$8),IF(D33="orbit",L33*M33/(2*PI())*R33,IF(D33="boomerang",2,IF(D33="aura",IF(Assumptions!$B$10=1,R33/Assumptions!$B$7,1),IF(D33="trail",Assumptions!$B$9*R33/Assumptions!$B$7,1)))))</f>
        <v>1.75</v>
      </c>
      <c r="T33" s="7" t="n">
        <f aca="false">Q33/R33</f>
        <v>68.5714285714286</v>
      </c>
      <c r="U33" s="7" t="n">
        <f aca="false">Q33/S33</f>
        <v>34.2857142857143</v>
      </c>
      <c r="V33" s="7" t="n">
        <f aca="false">IF(D33="cone",G33*L33/N33,IF(D33="orbit",G33*L33*M33/(2*PI()),IF(D33="boomerang",G33*2/N33,IF(D33="projectile",G33*L33/N33,IF(D33="trail",G33*Assumptions!$B$9/0.5,G33/N33)))))</f>
        <v>85.7142857142857</v>
      </c>
      <c r="W33" s="10" t="n">
        <f aca="false">IF(V33=0,"",T33/V33)</f>
        <v>0.8</v>
      </c>
      <c r="X33" s="10" t="n">
        <f aca="false">R33/N33</f>
        <v>1.25</v>
      </c>
      <c r="Y33" s="6" t="str">
        <f aca="false">IF(D33="aura",IF(R33&gt;Assumptions!$B$11,"ticks needed","pulse ok"),"")</f>
        <v>ticks needed</v>
      </c>
      <c r="Z33" s="6"/>
    </row>
    <row r="34" customFormat="false" ht="15" hidden="false" customHeight="false" outlineLevel="0" collapsed="false">
      <c r="A34" s="6" t="s">
        <v>152</v>
      </c>
      <c r="B34" s="6" t="s">
        <v>153</v>
      </c>
      <c r="C34" s="6" t="s">
        <v>154</v>
      </c>
      <c r="D34" s="6" t="s">
        <v>53</v>
      </c>
      <c r="E34" s="6" t="s">
        <v>54</v>
      </c>
      <c r="F34" s="6" t="s">
        <v>55</v>
      </c>
      <c r="G34" s="9" t="n">
        <v>60</v>
      </c>
      <c r="H34" s="9" t="n">
        <v>20</v>
      </c>
      <c r="I34" s="9" t="n">
        <v>100</v>
      </c>
      <c r="J34" s="9"/>
      <c r="K34" s="9"/>
      <c r="L34" s="9"/>
      <c r="M34" s="9"/>
      <c r="N34" s="9" t="n">
        <v>0.42</v>
      </c>
      <c r="O34" s="7" t="n">
        <f aca="false">IF(AND(J34&lt;&gt;"",K34&lt;&gt;""),(J34+K34)/2,1)</f>
        <v>1</v>
      </c>
      <c r="P34" s="7" t="n">
        <f aca="false">G34*IF(I34="",100,I34)/100</f>
        <v>60</v>
      </c>
      <c r="Q34" s="7" t="n">
        <f aca="false">P34*O34</f>
        <v>60</v>
      </c>
      <c r="R34" s="10" t="n">
        <f aca="false">Assumptions!$B$4*(Assumptions!$B$5/H34)^Assumptions!$B$6</f>
        <v>0.875</v>
      </c>
      <c r="S34" s="10" t="n">
        <f aca="false">IF(D34="cone",MIN(L34,Assumptions!$B$8),IF(D34="orbit",L34*M34/(2*PI())*R34,IF(D34="boomerang",2,IF(D34="aura",IF(Assumptions!$B$10=1,R34/Assumptions!$B$7,1),IF(D34="trail",Assumptions!$B$9*R34/Assumptions!$B$7,1)))))</f>
        <v>1</v>
      </c>
      <c r="T34" s="7" t="n">
        <f aca="false">Q34/R34</f>
        <v>68.5714285714286</v>
      </c>
      <c r="U34" s="7" t="n">
        <f aca="false">Q34/S34</f>
        <v>60</v>
      </c>
      <c r="V34" s="7" t="n">
        <f aca="false">IF(D34="cone",G34*L34/N34,IF(D34="orbit",G34*L34*M34/(2*PI()),IF(D34="boomerang",G34*2/N34,IF(D34="projectile",G34*L34/N34,IF(D34="trail",G34*Assumptions!$B$9/0.5,G34/N34)))))</f>
        <v>142.857142857143</v>
      </c>
      <c r="W34" s="10" t="n">
        <f aca="false">IF(V34=0,"",T34/V34)</f>
        <v>0.48</v>
      </c>
      <c r="X34" s="10" t="n">
        <f aca="false">R34/N34</f>
        <v>2.08333333333333</v>
      </c>
      <c r="Y34" s="6" t="str">
        <f aca="false">IF(D34="aura",IF(R34&gt;Assumptions!$B$11,"ticks needed","pulse ok"),"")</f>
        <v/>
      </c>
      <c r="Z34" s="6"/>
    </row>
    <row r="35" customFormat="false" ht="15" hidden="false" customHeight="false" outlineLevel="0" collapsed="false">
      <c r="A35" s="6" t="s">
        <v>155</v>
      </c>
      <c r="B35" s="6" t="s">
        <v>156</v>
      </c>
      <c r="C35" s="6" t="s">
        <v>154</v>
      </c>
      <c r="D35" s="6" t="s">
        <v>157</v>
      </c>
      <c r="E35" s="6" t="s">
        <v>158</v>
      </c>
      <c r="F35" s="6" t="s">
        <v>64</v>
      </c>
      <c r="G35" s="9" t="n">
        <v>0</v>
      </c>
      <c r="H35" s="9" t="n">
        <v>40</v>
      </c>
      <c r="I35" s="9" t="n">
        <v>95</v>
      </c>
      <c r="J35" s="9"/>
      <c r="K35" s="9"/>
      <c r="L35" s="9" t="n">
        <v>2</v>
      </c>
      <c r="M35" s="9"/>
      <c r="N35" s="9" t="n">
        <v>1.1</v>
      </c>
      <c r="O35" s="7" t="n">
        <f aca="false">IF(AND(J35&lt;&gt;"",K35&lt;&gt;""),(J35+K35)/2,1)</f>
        <v>1</v>
      </c>
      <c r="P35" s="7" t="n">
        <f aca="false">G35*IF(I35="",100,I35)/100</f>
        <v>0</v>
      </c>
      <c r="Q35" s="7" t="n">
        <f aca="false">P35*O35</f>
        <v>0</v>
      </c>
      <c r="R35" s="10" t="n">
        <f aca="false">Assumptions!$B$4*(Assumptions!$B$5/H35)^Assumptions!$B$6</f>
        <v>0.4375</v>
      </c>
      <c r="S35" s="10" t="n">
        <f aca="false">IF(D35="cone",MIN(L35,Assumptions!$B$8),IF(D35="orbit",L35*M35/(2*PI())*R35,IF(D35="boomerang",2,IF(D35="aura",IF(Assumptions!$B$10=1,R35/Assumptions!$B$7,1),IF(D35="trail",Assumptions!$B$9*R35/Assumptions!$B$7,1)))))</f>
        <v>1</v>
      </c>
      <c r="T35" s="7" t="n">
        <f aca="false">Q35/R35</f>
        <v>0</v>
      </c>
      <c r="U35" s="7" t="n">
        <f aca="false">Q35/S35</f>
        <v>0</v>
      </c>
      <c r="V35" s="7" t="n">
        <f aca="false">IF(D35="cone",G35*L35/N35,IF(D35="orbit",G35*L35*M35/(2*PI()),IF(D35="boomerang",G35*2/N35,IF(D35="projectile",G35*L35/N35,IF(D35="trail",G35*Assumptions!$B$9/0.5,G35/N35)))))</f>
        <v>0</v>
      </c>
      <c r="W35" s="10" t="str">
        <f aca="false">IF(V35=0,"",T35/V35)</f>
        <v/>
      </c>
      <c r="X35" s="10" t="n">
        <f aca="false">R35/N35</f>
        <v>0.397727272727273</v>
      </c>
      <c r="Y35" s="6" t="str">
        <f aca="false">IF(D35="aura",IF(R35&gt;Assumptions!$B$11,"ticks needed","pulse ok"),"")</f>
        <v/>
      </c>
      <c r="Z35" s="6" t="s">
        <v>159</v>
      </c>
    </row>
    <row r="36" customFormat="false" ht="15" hidden="false" customHeight="false" outlineLevel="0" collapsed="false">
      <c r="A36" s="6" t="s">
        <v>160</v>
      </c>
      <c r="B36" s="6" t="s">
        <v>161</v>
      </c>
      <c r="C36" s="6" t="s">
        <v>154</v>
      </c>
      <c r="D36" s="6" t="s">
        <v>111</v>
      </c>
      <c r="E36" s="6" t="s">
        <v>112</v>
      </c>
      <c r="F36" s="6" t="s">
        <v>75</v>
      </c>
      <c r="G36" s="9" t="n">
        <v>90</v>
      </c>
      <c r="H36" s="9" t="n">
        <v>10</v>
      </c>
      <c r="I36" s="9" t="n">
        <v>100</v>
      </c>
      <c r="J36" s="9"/>
      <c r="K36" s="9"/>
      <c r="L36" s="9"/>
      <c r="M36" s="9"/>
      <c r="N36" s="9" t="n">
        <v>0.45</v>
      </c>
      <c r="O36" s="7" t="n">
        <f aca="false">IF(AND(J36&lt;&gt;"",K36&lt;&gt;""),(J36+K36)/2,1)</f>
        <v>1</v>
      </c>
      <c r="P36" s="7" t="n">
        <f aca="false">G36*IF(I36="",100,I36)/100</f>
        <v>90</v>
      </c>
      <c r="Q36" s="7" t="n">
        <f aca="false">P36*O36</f>
        <v>90</v>
      </c>
      <c r="R36" s="10" t="n">
        <f aca="false">Assumptions!$B$4*(Assumptions!$B$5/H36)^Assumptions!$B$6</f>
        <v>1.75</v>
      </c>
      <c r="S36" s="10" t="n">
        <f aca="false">IF(D36="cone",MIN(L36,Assumptions!$B$8),IF(D36="orbit",L36*M36/(2*PI())*R36,IF(D36="boomerang",2,IF(D36="aura",IF(Assumptions!$B$10=1,R36/Assumptions!$B$7,1),IF(D36="trail",Assumptions!$B$9*R36/Assumptions!$B$7,1)))))</f>
        <v>3.5</v>
      </c>
      <c r="T36" s="7" t="n">
        <f aca="false">Q36/R36</f>
        <v>51.4285714285714</v>
      </c>
      <c r="U36" s="7" t="n">
        <f aca="false">Q36/S36</f>
        <v>25.7142857142857</v>
      </c>
      <c r="V36" s="7" t="n">
        <f aca="false">IF(D36="cone",G36*L36/N36,IF(D36="orbit",G36*L36*M36/(2*PI()),IF(D36="boomerang",G36*2/N36,IF(D36="projectile",G36*L36/N36,IF(D36="trail",G36*Assumptions!$B$9/0.5,G36/N36)))))</f>
        <v>200</v>
      </c>
      <c r="W36" s="10" t="n">
        <f aca="false">IF(V36=0,"",T36/V36)</f>
        <v>0.257142857142857</v>
      </c>
      <c r="X36" s="10" t="n">
        <f aca="false">R36/N36</f>
        <v>3.88888888888889</v>
      </c>
      <c r="Y36" s="6" t="str">
        <f aca="false">IF(D36="aura",IF(R36&gt;Assumptions!$B$11,"ticks needed","pulse ok"),"")</f>
        <v>ticks needed</v>
      </c>
      <c r="Z36" s="6"/>
    </row>
    <row r="37" customFormat="false" ht="15" hidden="false" customHeight="false" outlineLevel="0" collapsed="false">
      <c r="A37" s="6" t="s">
        <v>162</v>
      </c>
      <c r="B37" s="6" t="s">
        <v>163</v>
      </c>
      <c r="C37" s="6" t="s">
        <v>164</v>
      </c>
      <c r="D37" s="6" t="s">
        <v>73</v>
      </c>
      <c r="E37" s="6" t="s">
        <v>74</v>
      </c>
      <c r="F37" s="6" t="s">
        <v>55</v>
      </c>
      <c r="G37" s="9" t="n">
        <v>50</v>
      </c>
      <c r="H37" s="9" t="n">
        <v>15</v>
      </c>
      <c r="I37" s="9" t="n">
        <v>90</v>
      </c>
      <c r="J37" s="9"/>
      <c r="K37" s="9"/>
      <c r="L37" s="9" t="n">
        <v>1</v>
      </c>
      <c r="M37" s="9"/>
      <c r="N37" s="9" t="n">
        <v>0.7</v>
      </c>
      <c r="O37" s="7" t="n">
        <f aca="false">IF(AND(J37&lt;&gt;"",K37&lt;&gt;""),(J37+K37)/2,1)</f>
        <v>1</v>
      </c>
      <c r="P37" s="7" t="n">
        <f aca="false">G37*IF(I37="",100,I37)/100</f>
        <v>45</v>
      </c>
      <c r="Q37" s="7" t="n">
        <f aca="false">P37*O37</f>
        <v>45</v>
      </c>
      <c r="R37" s="10" t="n">
        <f aca="false">Assumptions!$B$4*(Assumptions!$B$5/H37)^Assumptions!$B$6</f>
        <v>1.16666666666667</v>
      </c>
      <c r="S37" s="10" t="n">
        <f aca="false">IF(D37="cone",MIN(L37,Assumptions!$B$8),IF(D37="orbit",L37*M37/(2*PI())*R37,IF(D37="boomerang",2,IF(D37="aura",IF(Assumptions!$B$10=1,R37/Assumptions!$B$7,1),IF(D37="trail",Assumptions!$B$9*R37/Assumptions!$B$7,1)))))</f>
        <v>1</v>
      </c>
      <c r="T37" s="7" t="n">
        <f aca="false">Q37/R37</f>
        <v>38.5714285714286</v>
      </c>
      <c r="U37" s="7" t="n">
        <f aca="false">Q37/S37</f>
        <v>45</v>
      </c>
      <c r="V37" s="7" t="n">
        <f aca="false">IF(D37="cone",G37*L37/N37,IF(D37="orbit",G37*L37*M37/(2*PI()),IF(D37="boomerang",G37*2/N37,IF(D37="projectile",G37*L37/N37,IF(D37="trail",G37*Assumptions!$B$9/0.5,G37/N37)))))</f>
        <v>71.4285714285714</v>
      </c>
      <c r="W37" s="10" t="n">
        <f aca="false">IF(V37=0,"",T37/V37)</f>
        <v>0.54</v>
      </c>
      <c r="X37" s="10" t="n">
        <f aca="false">R37/N37</f>
        <v>1.66666666666667</v>
      </c>
      <c r="Y37" s="6" t="str">
        <f aca="false">IF(D37="aura",IF(R37&gt;Assumptions!$B$11,"ticks needed","pulse ok"),"")</f>
        <v/>
      </c>
      <c r="Z37" s="6"/>
    </row>
    <row r="38" customFormat="false" ht="15" hidden="false" customHeight="false" outlineLevel="0" collapsed="false">
      <c r="A38" s="6" t="s">
        <v>165</v>
      </c>
      <c r="B38" s="6" t="s">
        <v>166</v>
      </c>
      <c r="C38" s="6" t="s">
        <v>164</v>
      </c>
      <c r="D38" s="6" t="s">
        <v>167</v>
      </c>
      <c r="E38" s="6" t="s">
        <v>168</v>
      </c>
      <c r="F38" s="6" t="s">
        <v>55</v>
      </c>
      <c r="G38" s="9" t="n">
        <v>75</v>
      </c>
      <c r="H38" s="9" t="n">
        <v>10</v>
      </c>
      <c r="I38" s="9" t="n">
        <v>90</v>
      </c>
      <c r="J38" s="9"/>
      <c r="K38" s="9"/>
      <c r="L38" s="9" t="n">
        <v>3</v>
      </c>
      <c r="M38" s="9"/>
      <c r="N38" s="9" t="n">
        <v>1.3</v>
      </c>
      <c r="O38" s="7" t="n">
        <f aca="false">IF(AND(J38&lt;&gt;"",K38&lt;&gt;""),(J38+K38)/2,1)</f>
        <v>1</v>
      </c>
      <c r="P38" s="7" t="n">
        <f aca="false">G38*IF(I38="",100,I38)/100</f>
        <v>67.5</v>
      </c>
      <c r="Q38" s="7" t="n">
        <f aca="false">P38*O38</f>
        <v>67.5</v>
      </c>
      <c r="R38" s="10" t="n">
        <f aca="false">Assumptions!$B$4*(Assumptions!$B$5/H38)^Assumptions!$B$6</f>
        <v>1.75</v>
      </c>
      <c r="S38" s="10" t="n">
        <f aca="false">IF(D38="cone",MIN(L38,Assumptions!$B$8),IF(D38="orbit",L38*M38/(2*PI())*R38,IF(D38="boomerang",2,IF(D38="aura",IF(Assumptions!$B$10=1,R38/Assumptions!$B$7,1),IF(D38="trail",Assumptions!$B$9*R38/Assumptions!$B$7,1)))))</f>
        <v>1</v>
      </c>
      <c r="T38" s="7" t="n">
        <f aca="false">Q38/R38</f>
        <v>38.5714285714286</v>
      </c>
      <c r="U38" s="7" t="n">
        <f aca="false">Q38/S38</f>
        <v>67.5</v>
      </c>
      <c r="V38" s="7" t="n">
        <f aca="false">IF(D38="cone",G38*L38/N38,IF(D38="orbit",G38*L38*M38/(2*PI()),IF(D38="boomerang",G38*2/N38,IF(D38="projectile",G38*L38/N38,IF(D38="trail",G38*Assumptions!$B$9/0.5,G38/N38)))))</f>
        <v>57.6923076923077</v>
      </c>
      <c r="W38" s="10" t="n">
        <f aca="false">IF(V38=0,"",T38/V38)</f>
        <v>0.668571428571429</v>
      </c>
      <c r="X38" s="10" t="n">
        <f aca="false">R38/N38</f>
        <v>1.34615384615385</v>
      </c>
      <c r="Y38" s="6" t="str">
        <f aca="false">IF(D38="aura",IF(R38&gt;Assumptions!$B$11,"ticks needed","pulse ok"),"")</f>
        <v/>
      </c>
      <c r="Z38" s="6"/>
    </row>
    <row r="39" customFormat="false" ht="15" hidden="false" customHeight="false" outlineLevel="0" collapsed="false">
      <c r="A39" s="6" t="s">
        <v>169</v>
      </c>
      <c r="B39" s="6" t="s">
        <v>170</v>
      </c>
      <c r="C39" s="6" t="s">
        <v>171</v>
      </c>
      <c r="D39" s="6" t="s">
        <v>95</v>
      </c>
      <c r="E39" s="6" t="s">
        <v>96</v>
      </c>
      <c r="F39" s="6" t="s">
        <v>75</v>
      </c>
      <c r="G39" s="9" t="n">
        <v>90</v>
      </c>
      <c r="H39" s="9" t="n">
        <v>10</v>
      </c>
      <c r="I39" s="9" t="n">
        <v>100</v>
      </c>
      <c r="J39" s="9"/>
      <c r="K39" s="9"/>
      <c r="L39" s="9"/>
      <c r="M39" s="9"/>
      <c r="N39" s="9" t="n">
        <v>1.1</v>
      </c>
      <c r="O39" s="7" t="n">
        <f aca="false">IF(AND(J39&lt;&gt;"",K39&lt;&gt;""),(J39+K39)/2,1)</f>
        <v>1</v>
      </c>
      <c r="P39" s="7" t="n">
        <f aca="false">G39*IF(I39="",100,I39)/100</f>
        <v>90</v>
      </c>
      <c r="Q39" s="7" t="n">
        <f aca="false">P39*O39</f>
        <v>90</v>
      </c>
      <c r="R39" s="10" t="n">
        <f aca="false">Assumptions!$B$4*(Assumptions!$B$5/H39)^Assumptions!$B$6</f>
        <v>1.75</v>
      </c>
      <c r="S39" s="10" t="n">
        <f aca="false">IF(D39="cone",MIN(L39,Assumptions!$B$8),IF(D39="orbit",L39*M39/(2*PI())*R39,IF(D39="boomerang",2,IF(D39="aura",IF(Assumptions!$B$10=1,R39/Assumptions!$B$7,1),IF(D39="trail",Assumptions!$B$9*R39/Assumptions!$B$7,1)))))</f>
        <v>1</v>
      </c>
      <c r="T39" s="7" t="n">
        <f aca="false">Q39/R39</f>
        <v>51.4285714285714</v>
      </c>
      <c r="U39" s="7" t="n">
        <f aca="false">Q39/S39</f>
        <v>90</v>
      </c>
      <c r="V39" s="7" t="n">
        <f aca="false">IF(D39="cone",G39*L39/N39,IF(D39="orbit",G39*L39*M39/(2*PI()),IF(D39="boomerang",G39*2/N39,IF(D39="projectile",G39*L39/N39,IF(D39="trail",G39*Assumptions!$B$9/0.5,G39/N39)))))</f>
        <v>81.8181818181818</v>
      </c>
      <c r="W39" s="10" t="n">
        <f aca="false">IF(V39=0,"",T39/V39)</f>
        <v>0.628571428571429</v>
      </c>
      <c r="X39" s="10" t="n">
        <f aca="false">R39/N39</f>
        <v>1.59090909090909</v>
      </c>
      <c r="Y39" s="6" t="str">
        <f aca="false">IF(D39="aura",IF(R39&gt;Assumptions!$B$11,"ticks needed","pulse ok"),"")</f>
        <v/>
      </c>
      <c r="Z39" s="6"/>
    </row>
    <row r="40" customFormat="false" ht="15" hidden="false" customHeight="false" outlineLevel="0" collapsed="false">
      <c r="A40" s="6" t="s">
        <v>172</v>
      </c>
      <c r="B40" s="6" t="s">
        <v>173</v>
      </c>
      <c r="C40" s="6" t="s">
        <v>171</v>
      </c>
      <c r="D40" s="6" t="s">
        <v>111</v>
      </c>
      <c r="E40" s="6" t="s">
        <v>112</v>
      </c>
      <c r="F40" s="6" t="s">
        <v>75</v>
      </c>
      <c r="G40" s="9" t="n">
        <v>40</v>
      </c>
      <c r="H40" s="9" t="n">
        <v>25</v>
      </c>
      <c r="I40" s="9" t="n">
        <v>100</v>
      </c>
      <c r="J40" s="9"/>
      <c r="K40" s="9"/>
      <c r="L40" s="9"/>
      <c r="M40" s="9"/>
      <c r="N40" s="9" t="n">
        <v>0.55</v>
      </c>
      <c r="O40" s="7" t="n">
        <f aca="false">IF(AND(J40&lt;&gt;"",K40&lt;&gt;""),(J40+K40)/2,1)</f>
        <v>1</v>
      </c>
      <c r="P40" s="7" t="n">
        <f aca="false">G40*IF(I40="",100,I40)/100</f>
        <v>40</v>
      </c>
      <c r="Q40" s="7" t="n">
        <f aca="false">P40*O40</f>
        <v>40</v>
      </c>
      <c r="R40" s="10" t="n">
        <f aca="false">Assumptions!$B$4*(Assumptions!$B$5/H40)^Assumptions!$B$6</f>
        <v>0.7</v>
      </c>
      <c r="S40" s="10" t="n">
        <f aca="false">IF(D40="cone",MIN(L40,Assumptions!$B$8),IF(D40="orbit",L40*M40/(2*PI())*R40,IF(D40="boomerang",2,IF(D40="aura",IF(Assumptions!$B$10=1,R40/Assumptions!$B$7,1),IF(D40="trail",Assumptions!$B$9*R40/Assumptions!$B$7,1)))))</f>
        <v>1.4</v>
      </c>
      <c r="T40" s="7" t="n">
        <f aca="false">Q40/R40</f>
        <v>57.1428571428571</v>
      </c>
      <c r="U40" s="7" t="n">
        <f aca="false">Q40/S40</f>
        <v>28.5714285714286</v>
      </c>
      <c r="V40" s="7" t="n">
        <f aca="false">IF(D40="cone",G40*L40/N40,IF(D40="orbit",G40*L40*M40/(2*PI()),IF(D40="boomerang",G40*2/N40,IF(D40="projectile",G40*L40/N40,IF(D40="trail",G40*Assumptions!$B$9/0.5,G40/N40)))))</f>
        <v>72.7272727272727</v>
      </c>
      <c r="W40" s="10" t="n">
        <f aca="false">IF(V40=0,"",T40/V40)</f>
        <v>0.785714285714286</v>
      </c>
      <c r="X40" s="10" t="n">
        <f aca="false">R40/N40</f>
        <v>1.27272727272727</v>
      </c>
      <c r="Y40" s="6" t="str">
        <f aca="false">IF(D40="aura",IF(R40&gt;Assumptions!$B$11,"ticks needed","pulse ok"),"")</f>
        <v>pulse ok</v>
      </c>
      <c r="Z40" s="6"/>
    </row>
    <row r="41" customFormat="false" ht="15" hidden="false" customHeight="false" outlineLevel="0" collapsed="false">
      <c r="A41" s="6" t="s">
        <v>174</v>
      </c>
      <c r="B41" s="6" t="s">
        <v>175</v>
      </c>
      <c r="C41" s="6" t="s">
        <v>176</v>
      </c>
      <c r="D41" s="6" t="s">
        <v>53</v>
      </c>
      <c r="E41" s="6" t="s">
        <v>54</v>
      </c>
      <c r="F41" s="6" t="s">
        <v>55</v>
      </c>
      <c r="G41" s="9" t="n">
        <v>50</v>
      </c>
      <c r="H41" s="9" t="n">
        <v>25</v>
      </c>
      <c r="I41" s="9" t="n">
        <v>100</v>
      </c>
      <c r="J41" s="9"/>
      <c r="K41" s="9"/>
      <c r="L41" s="9"/>
      <c r="M41" s="9"/>
      <c r="N41" s="9" t="n">
        <v>0.5</v>
      </c>
      <c r="O41" s="7" t="n">
        <f aca="false">IF(AND(J41&lt;&gt;"",K41&lt;&gt;""),(J41+K41)/2,1)</f>
        <v>1</v>
      </c>
      <c r="P41" s="7" t="n">
        <f aca="false">G41*IF(I41="",100,I41)/100</f>
        <v>50</v>
      </c>
      <c r="Q41" s="7" t="n">
        <f aca="false">P41*O41</f>
        <v>50</v>
      </c>
      <c r="R41" s="10" t="n">
        <f aca="false">Assumptions!$B$4*(Assumptions!$B$5/H41)^Assumptions!$B$6</f>
        <v>0.7</v>
      </c>
      <c r="S41" s="10" t="n">
        <f aca="false">IF(D41="cone",MIN(L41,Assumptions!$B$8),IF(D41="orbit",L41*M41/(2*PI())*R41,IF(D41="boomerang",2,IF(D41="aura",IF(Assumptions!$B$10=1,R41/Assumptions!$B$7,1),IF(D41="trail",Assumptions!$B$9*R41/Assumptions!$B$7,1)))))</f>
        <v>1</v>
      </c>
      <c r="T41" s="7" t="n">
        <f aca="false">Q41/R41</f>
        <v>71.4285714285714</v>
      </c>
      <c r="U41" s="7" t="n">
        <f aca="false">Q41/S41</f>
        <v>50</v>
      </c>
      <c r="V41" s="7" t="n">
        <f aca="false">IF(D41="cone",G41*L41/N41,IF(D41="orbit",G41*L41*M41/(2*PI()),IF(D41="boomerang",G41*2/N41,IF(D41="projectile",G41*L41/N41,IF(D41="trail",G41*Assumptions!$B$9/0.5,G41/N41)))))</f>
        <v>100</v>
      </c>
      <c r="W41" s="10" t="n">
        <f aca="false">IF(V41=0,"",T41/V41)</f>
        <v>0.714285714285714</v>
      </c>
      <c r="X41" s="10" t="n">
        <f aca="false">R41/N41</f>
        <v>1.4</v>
      </c>
      <c r="Y41" s="6" t="str">
        <f aca="false">IF(D41="aura",IF(R41&gt;Assumptions!$B$11,"ticks needed","pulse ok"),"")</f>
        <v/>
      </c>
      <c r="Z41" s="6"/>
    </row>
    <row r="42" customFormat="false" ht="15" hidden="false" customHeight="false" outlineLevel="0" collapsed="false">
      <c r="A42" s="6" t="s">
        <v>177</v>
      </c>
      <c r="B42" s="6" t="s">
        <v>178</v>
      </c>
      <c r="C42" s="6" t="s">
        <v>176</v>
      </c>
      <c r="D42" s="6" t="s">
        <v>73</v>
      </c>
      <c r="E42" s="6" t="s">
        <v>74</v>
      </c>
      <c r="F42" s="6" t="s">
        <v>75</v>
      </c>
      <c r="G42" s="9" t="n">
        <v>80</v>
      </c>
      <c r="H42" s="9" t="n">
        <v>20</v>
      </c>
      <c r="I42" s="9"/>
      <c r="J42" s="9"/>
      <c r="K42" s="9"/>
      <c r="L42" s="9" t="n">
        <v>1</v>
      </c>
      <c r="M42" s="9"/>
      <c r="N42" s="9" t="n">
        <v>0.62</v>
      </c>
      <c r="O42" s="7" t="n">
        <f aca="false">IF(AND(J42&lt;&gt;"",K42&lt;&gt;""),(J42+K42)/2,1)</f>
        <v>1</v>
      </c>
      <c r="P42" s="7" t="n">
        <f aca="false">G42*IF(I42="",100,I42)/100</f>
        <v>80</v>
      </c>
      <c r="Q42" s="7" t="n">
        <f aca="false">P42*O42</f>
        <v>80</v>
      </c>
      <c r="R42" s="10" t="n">
        <f aca="false">Assumptions!$B$4*(Assumptions!$B$5/H42)^Assumptions!$B$6</f>
        <v>0.875</v>
      </c>
      <c r="S42" s="10" t="n">
        <f aca="false">IF(D42="cone",MIN(L42,Assumptions!$B$8),IF(D42="orbit",L42*M42/(2*PI())*R42,IF(D42="boomerang",2,IF(D42="aura",IF(Assumptions!$B$10=1,R42/Assumptions!$B$7,1),IF(D42="trail",Assumptions!$B$9*R42/Assumptions!$B$7,1)))))</f>
        <v>1</v>
      </c>
      <c r="T42" s="7" t="n">
        <f aca="false">Q42/R42</f>
        <v>91.4285714285714</v>
      </c>
      <c r="U42" s="7" t="n">
        <f aca="false">Q42/S42</f>
        <v>80</v>
      </c>
      <c r="V42" s="7" t="n">
        <f aca="false">IF(D42="cone",G42*L42/N42,IF(D42="orbit",G42*L42*M42/(2*PI()),IF(D42="boomerang",G42*2/N42,IF(D42="projectile",G42*L42/N42,IF(D42="trail",G42*Assumptions!$B$9/0.5,G42/N42)))))</f>
        <v>129.032258064516</v>
      </c>
      <c r="W42" s="10" t="n">
        <f aca="false">IF(V42=0,"",T42/V42)</f>
        <v>0.708571428571429</v>
      </c>
      <c r="X42" s="10" t="n">
        <f aca="false">R42/N42</f>
        <v>1.41129032258065</v>
      </c>
      <c r="Y42" s="6" t="str">
        <f aca="false">IF(D42="aura",IF(R42&gt;Assumptions!$B$11,"ticks needed","pulse ok"),"")</f>
        <v/>
      </c>
      <c r="Z42" s="6"/>
    </row>
    <row r="43" customFormat="false" ht="15" hidden="false" customHeight="false" outlineLevel="0" collapsed="false">
      <c r="A43" s="6" t="s">
        <v>179</v>
      </c>
      <c r="B43" s="6" t="s">
        <v>180</v>
      </c>
      <c r="C43" s="6" t="s">
        <v>181</v>
      </c>
      <c r="D43" s="6" t="s">
        <v>53</v>
      </c>
      <c r="E43" s="6" t="s">
        <v>54</v>
      </c>
      <c r="F43" s="6" t="s">
        <v>55</v>
      </c>
      <c r="G43" s="9" t="n">
        <v>30</v>
      </c>
      <c r="H43" s="9" t="n">
        <v>30</v>
      </c>
      <c r="I43" s="9" t="n">
        <v>100</v>
      </c>
      <c r="J43" s="9"/>
      <c r="K43" s="9"/>
      <c r="L43" s="9"/>
      <c r="M43" s="9"/>
      <c r="N43" s="9" t="n">
        <v>0.48</v>
      </c>
      <c r="O43" s="7" t="n">
        <f aca="false">IF(AND(J43&lt;&gt;"",K43&lt;&gt;""),(J43+K43)/2,1)</f>
        <v>1</v>
      </c>
      <c r="P43" s="7" t="n">
        <f aca="false">G43*IF(I43="",100,I43)/100</f>
        <v>30</v>
      </c>
      <c r="Q43" s="7" t="n">
        <f aca="false">P43*O43</f>
        <v>30</v>
      </c>
      <c r="R43" s="10" t="n">
        <f aca="false">Assumptions!$B$4*(Assumptions!$B$5/H43)^Assumptions!$B$6</f>
        <v>0.583333333333333</v>
      </c>
      <c r="S43" s="10" t="n">
        <f aca="false">IF(D43="cone",MIN(L43,Assumptions!$B$8),IF(D43="orbit",L43*M43/(2*PI())*R43,IF(D43="boomerang",2,IF(D43="aura",IF(Assumptions!$B$10=1,R43/Assumptions!$B$7,1),IF(D43="trail",Assumptions!$B$9*R43/Assumptions!$B$7,1)))))</f>
        <v>1</v>
      </c>
      <c r="T43" s="7" t="n">
        <f aca="false">Q43/R43</f>
        <v>51.4285714285714</v>
      </c>
      <c r="U43" s="7" t="n">
        <f aca="false">Q43/S43</f>
        <v>30</v>
      </c>
      <c r="V43" s="7" t="n">
        <f aca="false">IF(D43="cone",G43*L43/N43,IF(D43="orbit",G43*L43*M43/(2*PI()),IF(D43="boomerang",G43*2/N43,IF(D43="projectile",G43*L43/N43,IF(D43="trail",G43*Assumptions!$B$9/0.5,G43/N43)))))</f>
        <v>62.5</v>
      </c>
      <c r="W43" s="10" t="n">
        <f aca="false">IF(V43=0,"",T43/V43)</f>
        <v>0.822857142857143</v>
      </c>
      <c r="X43" s="10" t="n">
        <f aca="false">R43/N43</f>
        <v>1.21527777777778</v>
      </c>
      <c r="Y43" s="6" t="str">
        <f aca="false">IF(D43="aura",IF(R43&gt;Assumptions!$B$11,"ticks needed","pulse ok"),"")</f>
        <v/>
      </c>
      <c r="Z43" s="6"/>
    </row>
    <row r="44" customFormat="false" ht="15" hidden="false" customHeight="false" outlineLevel="0" collapsed="false">
      <c r="A44" s="6" t="s">
        <v>182</v>
      </c>
      <c r="B44" s="6" t="s">
        <v>183</v>
      </c>
      <c r="C44" s="6" t="s">
        <v>181</v>
      </c>
      <c r="D44" s="6" t="s">
        <v>73</v>
      </c>
      <c r="E44" s="6" t="s">
        <v>74</v>
      </c>
      <c r="F44" s="6" t="s">
        <v>75</v>
      </c>
      <c r="G44" s="9" t="n">
        <v>80</v>
      </c>
      <c r="H44" s="9" t="n">
        <v>15</v>
      </c>
      <c r="I44" s="9" t="n">
        <v>100</v>
      </c>
      <c r="J44" s="9"/>
      <c r="K44" s="9"/>
      <c r="L44" s="9" t="n">
        <v>1</v>
      </c>
      <c r="M44" s="9"/>
      <c r="N44" s="9" t="n">
        <v>0.66</v>
      </c>
      <c r="O44" s="7" t="n">
        <f aca="false">IF(AND(J44&lt;&gt;"",K44&lt;&gt;""),(J44+K44)/2,1)</f>
        <v>1</v>
      </c>
      <c r="P44" s="7" t="n">
        <f aca="false">G44*IF(I44="",100,I44)/100</f>
        <v>80</v>
      </c>
      <c r="Q44" s="7" t="n">
        <f aca="false">P44*O44</f>
        <v>80</v>
      </c>
      <c r="R44" s="10" t="n">
        <f aca="false">Assumptions!$B$4*(Assumptions!$B$5/H44)^Assumptions!$B$6</f>
        <v>1.16666666666667</v>
      </c>
      <c r="S44" s="10" t="n">
        <f aca="false">IF(D44="cone",MIN(L44,Assumptions!$B$8),IF(D44="orbit",L44*M44/(2*PI())*R44,IF(D44="boomerang",2,IF(D44="aura",IF(Assumptions!$B$10=1,R44/Assumptions!$B$7,1),IF(D44="trail",Assumptions!$B$9*R44/Assumptions!$B$7,1)))))</f>
        <v>1</v>
      </c>
      <c r="T44" s="7" t="n">
        <f aca="false">Q44/R44</f>
        <v>68.5714285714286</v>
      </c>
      <c r="U44" s="7" t="n">
        <f aca="false">Q44/S44</f>
        <v>80</v>
      </c>
      <c r="V44" s="7" t="n">
        <f aca="false">IF(D44="cone",G44*L44/N44,IF(D44="orbit",G44*L44*M44/(2*PI()),IF(D44="boomerang",G44*2/N44,IF(D44="projectile",G44*L44/N44,IF(D44="trail",G44*Assumptions!$B$9/0.5,G44/N44)))))</f>
        <v>121.212121212121</v>
      </c>
      <c r="W44" s="10" t="n">
        <f aca="false">IF(V44=0,"",T44/V44)</f>
        <v>0.565714285714286</v>
      </c>
      <c r="X44" s="10" t="n">
        <f aca="false">R44/N44</f>
        <v>1.76767676767677</v>
      </c>
      <c r="Y44" s="6" t="str">
        <f aca="false">IF(D44="aura",IF(R44&gt;Assumptions!$B$11,"ticks needed","pulse ok"),"")</f>
        <v/>
      </c>
      <c r="Z44" s="6"/>
    </row>
    <row r="45" customFormat="false" ht="15" hidden="false" customHeight="false" outlineLevel="0" collapsed="false">
      <c r="A45" s="6" t="s">
        <v>184</v>
      </c>
      <c r="B45" s="6" t="s">
        <v>185</v>
      </c>
      <c r="C45" s="6" t="s">
        <v>186</v>
      </c>
      <c r="D45" s="6" t="s">
        <v>95</v>
      </c>
      <c r="E45" s="6" t="s">
        <v>96</v>
      </c>
      <c r="F45" s="6" t="s">
        <v>75</v>
      </c>
      <c r="G45" s="9" t="n">
        <v>0</v>
      </c>
      <c r="H45" s="9" t="n">
        <v>10</v>
      </c>
      <c r="I45" s="9" t="n">
        <v>100</v>
      </c>
      <c r="J45" s="9"/>
      <c r="K45" s="9"/>
      <c r="L45" s="9"/>
      <c r="M45" s="9"/>
      <c r="N45" s="9" t="n">
        <v>1</v>
      </c>
      <c r="O45" s="7" t="n">
        <f aca="false">IF(AND(J45&lt;&gt;"",K45&lt;&gt;""),(J45+K45)/2,1)</f>
        <v>1</v>
      </c>
      <c r="P45" s="7" t="n">
        <f aca="false">G45*IF(I45="",100,I45)/100</f>
        <v>0</v>
      </c>
      <c r="Q45" s="7" t="n">
        <f aca="false">P45*O45</f>
        <v>0</v>
      </c>
      <c r="R45" s="10" t="n">
        <f aca="false">Assumptions!$B$4*(Assumptions!$B$5/H45)^Assumptions!$B$6</f>
        <v>1.75</v>
      </c>
      <c r="S45" s="10" t="n">
        <f aca="false">IF(D45="cone",MIN(L45,Assumptions!$B$8),IF(D45="orbit",L45*M45/(2*PI())*R45,IF(D45="boomerang",2,IF(D45="aura",IF(Assumptions!$B$10=1,R45/Assumptions!$B$7,1),IF(D45="trail",Assumptions!$B$9*R45/Assumptions!$B$7,1)))))</f>
        <v>1</v>
      </c>
      <c r="T45" s="7" t="n">
        <f aca="false">Q45/R45</f>
        <v>0</v>
      </c>
      <c r="U45" s="7" t="n">
        <f aca="false">Q45/S45</f>
        <v>0</v>
      </c>
      <c r="V45" s="7" t="n">
        <f aca="false">IF(D45="cone",G45*L45/N45,IF(D45="orbit",G45*L45*M45/(2*PI()),IF(D45="boomerang",G45*2/N45,IF(D45="projectile",G45*L45/N45,IF(D45="trail",G45*Assumptions!$B$9/0.5,G45/N45)))))</f>
        <v>0</v>
      </c>
      <c r="W45" s="10" t="str">
        <f aca="false">IF(V45=0,"",T45/V45)</f>
        <v/>
      </c>
      <c r="X45" s="10" t="n">
        <f aca="false">R45/N45</f>
        <v>1.75</v>
      </c>
      <c r="Y45" s="6" t="str">
        <f aca="false">IF(D45="aura",IF(R45&gt;Assumptions!$B$11,"ticks needed","pulse ok"),"")</f>
        <v/>
      </c>
      <c r="Z45" s="6" t="s">
        <v>159</v>
      </c>
    </row>
    <row r="46" customFormat="false" ht="15" hidden="false" customHeight="false" outlineLevel="0" collapsed="false">
      <c r="A46" s="6" t="s">
        <v>187</v>
      </c>
      <c r="B46" s="6" t="s">
        <v>188</v>
      </c>
      <c r="C46" s="6" t="s">
        <v>186</v>
      </c>
      <c r="D46" s="6" t="s">
        <v>62</v>
      </c>
      <c r="E46" s="6" t="s">
        <v>63</v>
      </c>
      <c r="F46" s="6" t="s">
        <v>64</v>
      </c>
      <c r="G46" s="9" t="n">
        <v>0</v>
      </c>
      <c r="H46" s="9" t="n">
        <v>20</v>
      </c>
      <c r="I46" s="9"/>
      <c r="J46" s="9"/>
      <c r="K46" s="9"/>
      <c r="L46" s="9"/>
      <c r="M46" s="9"/>
      <c r="N46" s="9" t="n">
        <v>0.7</v>
      </c>
      <c r="O46" s="7" t="n">
        <f aca="false">IF(AND(J46&lt;&gt;"",K46&lt;&gt;""),(J46+K46)/2,1)</f>
        <v>1</v>
      </c>
      <c r="P46" s="7" t="n">
        <f aca="false">G46*IF(I46="",100,I46)/100</f>
        <v>0</v>
      </c>
      <c r="Q46" s="7" t="n">
        <f aca="false">P46*O46</f>
        <v>0</v>
      </c>
      <c r="R46" s="10" t="n">
        <f aca="false">Assumptions!$B$4*(Assumptions!$B$5/H46)^Assumptions!$B$6</f>
        <v>0.875</v>
      </c>
      <c r="S46" s="10" t="n">
        <f aca="false">IF(D46="cone",MIN(L46,Assumptions!$B$8),IF(D46="orbit",L46*M46/(2*PI())*R46,IF(D46="boomerang",2,IF(D46="aura",IF(Assumptions!$B$10=1,R46/Assumptions!$B$7,1),IF(D46="trail",Assumptions!$B$9*R46/Assumptions!$B$7,1)))))</f>
        <v>1</v>
      </c>
      <c r="T46" s="7" t="n">
        <f aca="false">Q46/R46</f>
        <v>0</v>
      </c>
      <c r="U46" s="7" t="n">
        <f aca="false">Q46/S46</f>
        <v>0</v>
      </c>
      <c r="V46" s="7" t="n">
        <f aca="false">IF(D46="cone",G46*L46/N46,IF(D46="orbit",G46*L46*M46/(2*PI()),IF(D46="boomerang",G46*2/N46,IF(D46="projectile",G46*L46/N46,IF(D46="trail",G46*Assumptions!$B$9/0.5,G46/N46)))))</f>
        <v>0</v>
      </c>
      <c r="W46" s="10" t="str">
        <f aca="false">IF(V46=0,"",T46/V46)</f>
        <v/>
      </c>
      <c r="X46" s="10" t="n">
        <f aca="false">R46/N46</f>
        <v>1.25</v>
      </c>
      <c r="Y46" s="6" t="str">
        <f aca="false">IF(D46="aura",IF(R46&gt;Assumptions!$B$11,"ticks needed","pulse ok"),"")</f>
        <v/>
      </c>
      <c r="Z46" s="6" t="s">
        <v>65</v>
      </c>
    </row>
    <row r="47" customFormat="false" ht="15" hidden="false" customHeight="false" outlineLevel="0" collapsed="false">
      <c r="A47" s="6" t="s">
        <v>189</v>
      </c>
      <c r="B47" s="6" t="s">
        <v>190</v>
      </c>
      <c r="C47" s="6" t="s">
        <v>191</v>
      </c>
      <c r="D47" s="6" t="s">
        <v>86</v>
      </c>
      <c r="E47" s="6" t="s">
        <v>87</v>
      </c>
      <c r="F47" s="6" t="s">
        <v>75</v>
      </c>
      <c r="G47" s="9" t="n">
        <v>40</v>
      </c>
      <c r="H47" s="9" t="n">
        <v>30</v>
      </c>
      <c r="I47" s="9" t="n">
        <v>100</v>
      </c>
      <c r="J47" s="9"/>
      <c r="K47" s="9"/>
      <c r="L47" s="9" t="n">
        <v>10</v>
      </c>
      <c r="M47" s="9"/>
      <c r="N47" s="9" t="n">
        <v>1</v>
      </c>
      <c r="O47" s="7" t="n">
        <f aca="false">IF(AND(J47&lt;&gt;"",K47&lt;&gt;""),(J47+K47)/2,1)</f>
        <v>1</v>
      </c>
      <c r="P47" s="7" t="n">
        <f aca="false">G47*IF(I47="",100,I47)/100</f>
        <v>40</v>
      </c>
      <c r="Q47" s="7" t="n">
        <f aca="false">P47*O47</f>
        <v>40</v>
      </c>
      <c r="R47" s="10" t="n">
        <f aca="false">Assumptions!$B$4*(Assumptions!$B$5/H47)^Assumptions!$B$6</f>
        <v>0.583333333333333</v>
      </c>
      <c r="S47" s="10" t="n">
        <f aca="false">IF(D47="cone",MIN(L47,Assumptions!$B$8),IF(D47="orbit",L47*M47/(2*PI())*R47,IF(D47="boomerang",2,IF(D47="aura",IF(Assumptions!$B$10=1,R47/Assumptions!$B$7,1),IF(D47="trail",Assumptions!$B$9*R47/Assumptions!$B$7,1)))))</f>
        <v>1</v>
      </c>
      <c r="T47" s="7" t="n">
        <f aca="false">Q47/R47</f>
        <v>68.5714285714286</v>
      </c>
      <c r="U47" s="7" t="n">
        <f aca="false">Q47/S47</f>
        <v>40</v>
      </c>
      <c r="V47" s="7" t="n">
        <f aca="false">IF(D47="cone",G47*L47/N47,IF(D47="orbit",G47*L47*M47/(2*PI()),IF(D47="boomerang",G47*2/N47,IF(D47="projectile",G47*L47/N47,IF(D47="trail",G47*Assumptions!$B$9/0.5,G47/N47)))))</f>
        <v>40</v>
      </c>
      <c r="W47" s="10" t="n">
        <f aca="false">IF(V47=0,"",T47/V47)</f>
        <v>1.71428571428571</v>
      </c>
      <c r="X47" s="10" t="n">
        <f aca="false">R47/N47</f>
        <v>0.583333333333333</v>
      </c>
      <c r="Y47" s="6" t="str">
        <f aca="false">IF(D47="aura",IF(R47&gt;Assumptions!$B$11,"ticks needed","pulse ok"),"")</f>
        <v/>
      </c>
      <c r="Z47" s="6"/>
    </row>
    <row r="48" customFormat="false" ht="15" hidden="false" customHeight="false" outlineLevel="0" collapsed="false">
      <c r="A48" s="6" t="s">
        <v>192</v>
      </c>
      <c r="B48" s="6" t="s">
        <v>193</v>
      </c>
      <c r="C48" s="6" t="s">
        <v>191</v>
      </c>
      <c r="D48" s="6" t="s">
        <v>111</v>
      </c>
      <c r="E48" s="6" t="s">
        <v>112</v>
      </c>
      <c r="F48" s="6" t="s">
        <v>75</v>
      </c>
      <c r="G48" s="9" t="n">
        <v>80</v>
      </c>
      <c r="H48" s="9" t="n">
        <v>10</v>
      </c>
      <c r="I48" s="9" t="n">
        <v>100</v>
      </c>
      <c r="J48" s="9"/>
      <c r="K48" s="9"/>
      <c r="L48" s="9"/>
      <c r="M48" s="9"/>
      <c r="N48" s="9" t="n">
        <v>0.5</v>
      </c>
      <c r="O48" s="7" t="n">
        <f aca="false">IF(AND(J48&lt;&gt;"",K48&lt;&gt;""),(J48+K48)/2,1)</f>
        <v>1</v>
      </c>
      <c r="P48" s="7" t="n">
        <f aca="false">G48*IF(I48="",100,I48)/100</f>
        <v>80</v>
      </c>
      <c r="Q48" s="7" t="n">
        <f aca="false">P48*O48</f>
        <v>80</v>
      </c>
      <c r="R48" s="10" t="n">
        <f aca="false">Assumptions!$B$4*(Assumptions!$B$5/H48)^Assumptions!$B$6</f>
        <v>1.75</v>
      </c>
      <c r="S48" s="10" t="n">
        <f aca="false">IF(D48="cone",MIN(L48,Assumptions!$B$8),IF(D48="orbit",L48*M48/(2*PI())*R48,IF(D48="boomerang",2,IF(D48="aura",IF(Assumptions!$B$10=1,R48/Assumptions!$B$7,1),IF(D48="trail",Assumptions!$B$9*R48/Assumptions!$B$7,1)))))</f>
        <v>3.5</v>
      </c>
      <c r="T48" s="7" t="n">
        <f aca="false">Q48/R48</f>
        <v>45.7142857142857</v>
      </c>
      <c r="U48" s="7" t="n">
        <f aca="false">Q48/S48</f>
        <v>22.8571428571429</v>
      </c>
      <c r="V48" s="7" t="n">
        <f aca="false">IF(D48="cone",G48*L48/N48,IF(D48="orbit",G48*L48*M48/(2*PI()),IF(D48="boomerang",G48*2/N48,IF(D48="projectile",G48*L48/N48,IF(D48="trail",G48*Assumptions!$B$9/0.5,G48/N48)))))</f>
        <v>160</v>
      </c>
      <c r="W48" s="10" t="n">
        <f aca="false">IF(V48=0,"",T48/V48)</f>
        <v>0.285714285714286</v>
      </c>
      <c r="X48" s="10" t="n">
        <f aca="false">R48/N48</f>
        <v>3.5</v>
      </c>
      <c r="Y48" s="6" t="str">
        <f aca="false">IF(D48="aura",IF(R48&gt;Assumptions!$B$11,"ticks needed","pulse ok"),"")</f>
        <v>ticks needed</v>
      </c>
      <c r="Z48" s="6"/>
    </row>
    <row r="49" customFormat="false" ht="15" hidden="false" customHeight="false" outlineLevel="0" collapsed="false">
      <c r="A49" s="6" t="s">
        <v>194</v>
      </c>
      <c r="B49" s="6" t="s">
        <v>195</v>
      </c>
      <c r="C49" s="6" t="s">
        <v>196</v>
      </c>
      <c r="D49" s="6" t="s">
        <v>53</v>
      </c>
      <c r="E49" s="6" t="s">
        <v>54</v>
      </c>
      <c r="F49" s="6" t="s">
        <v>55</v>
      </c>
      <c r="G49" s="9" t="n">
        <v>50</v>
      </c>
      <c r="H49" s="9" t="n">
        <v>35</v>
      </c>
      <c r="I49" s="9" t="n">
        <v>95</v>
      </c>
      <c r="J49" s="9"/>
      <c r="K49" s="9"/>
      <c r="L49" s="9"/>
      <c r="M49" s="9"/>
      <c r="N49" s="9" t="n">
        <v>0.5</v>
      </c>
      <c r="O49" s="7" t="n">
        <f aca="false">IF(AND(J49&lt;&gt;"",K49&lt;&gt;""),(J49+K49)/2,1)</f>
        <v>1</v>
      </c>
      <c r="P49" s="7" t="n">
        <f aca="false">G49*IF(I49="",100,I49)/100</f>
        <v>47.5</v>
      </c>
      <c r="Q49" s="7" t="n">
        <f aca="false">P49*O49</f>
        <v>47.5</v>
      </c>
      <c r="R49" s="10" t="n">
        <f aca="false">Assumptions!$B$4*(Assumptions!$B$5/H49)^Assumptions!$B$6</f>
        <v>0.5</v>
      </c>
      <c r="S49" s="10" t="n">
        <f aca="false">IF(D49="cone",MIN(L49,Assumptions!$B$8),IF(D49="orbit",L49*M49/(2*PI())*R49,IF(D49="boomerang",2,IF(D49="aura",IF(Assumptions!$B$10=1,R49/Assumptions!$B$7,1),IF(D49="trail",Assumptions!$B$9*R49/Assumptions!$B$7,1)))))</f>
        <v>1</v>
      </c>
      <c r="T49" s="7" t="n">
        <f aca="false">Q49/R49</f>
        <v>95</v>
      </c>
      <c r="U49" s="7" t="n">
        <f aca="false">Q49/S49</f>
        <v>47.5</v>
      </c>
      <c r="V49" s="7" t="n">
        <f aca="false">IF(D49="cone",G49*L49/N49,IF(D49="orbit",G49*L49*M49/(2*PI()),IF(D49="boomerang",G49*2/N49,IF(D49="projectile",G49*L49/N49,IF(D49="trail",G49*Assumptions!$B$9/0.5,G49/N49)))))</f>
        <v>100</v>
      </c>
      <c r="W49" s="10" t="n">
        <f aca="false">IF(V49=0,"",T49/V49)</f>
        <v>0.95</v>
      </c>
      <c r="X49" s="10" t="n">
        <f aca="false">R49/N49</f>
        <v>1</v>
      </c>
      <c r="Y49" s="6" t="str">
        <f aca="false">IF(D49="aura",IF(R49&gt;Assumptions!$B$11,"ticks needed","pulse ok"),"")</f>
        <v/>
      </c>
      <c r="Z49" s="6"/>
    </row>
    <row r="50" customFormat="false" ht="15" hidden="false" customHeight="false" outlineLevel="0" collapsed="false">
      <c r="A50" s="6" t="s">
        <v>197</v>
      </c>
      <c r="B50" s="6" t="s">
        <v>198</v>
      </c>
      <c r="C50" s="6" t="s">
        <v>196</v>
      </c>
      <c r="D50" s="6" t="s">
        <v>95</v>
      </c>
      <c r="E50" s="6" t="s">
        <v>96</v>
      </c>
      <c r="F50" s="6" t="s">
        <v>75</v>
      </c>
      <c r="G50" s="9" t="n">
        <v>80</v>
      </c>
      <c r="H50" s="9" t="n">
        <v>10</v>
      </c>
      <c r="I50" s="9" t="n">
        <v>100</v>
      </c>
      <c r="J50" s="9"/>
      <c r="K50" s="9"/>
      <c r="L50" s="9"/>
      <c r="M50" s="9"/>
      <c r="N50" s="9" t="n">
        <v>1.05</v>
      </c>
      <c r="O50" s="7" t="n">
        <f aca="false">IF(AND(J50&lt;&gt;"",K50&lt;&gt;""),(J50+K50)/2,1)</f>
        <v>1</v>
      </c>
      <c r="P50" s="7" t="n">
        <f aca="false">G50*IF(I50="",100,I50)/100</f>
        <v>80</v>
      </c>
      <c r="Q50" s="7" t="n">
        <f aca="false">P50*O50</f>
        <v>80</v>
      </c>
      <c r="R50" s="10" t="n">
        <f aca="false">Assumptions!$B$4*(Assumptions!$B$5/H50)^Assumptions!$B$6</f>
        <v>1.75</v>
      </c>
      <c r="S50" s="10" t="n">
        <f aca="false">IF(D50="cone",MIN(L50,Assumptions!$B$8),IF(D50="orbit",L50*M50/(2*PI())*R50,IF(D50="boomerang",2,IF(D50="aura",IF(Assumptions!$B$10=1,R50/Assumptions!$B$7,1),IF(D50="trail",Assumptions!$B$9*R50/Assumptions!$B$7,1)))))</f>
        <v>1</v>
      </c>
      <c r="T50" s="7" t="n">
        <f aca="false">Q50/R50</f>
        <v>45.7142857142857</v>
      </c>
      <c r="U50" s="7" t="n">
        <f aca="false">Q50/S50</f>
        <v>80</v>
      </c>
      <c r="V50" s="7" t="n">
        <f aca="false">IF(D50="cone",G50*L50/N50,IF(D50="orbit",G50*L50*M50/(2*PI()),IF(D50="boomerang",G50*2/N50,IF(D50="projectile",G50*L50/N50,IF(D50="trail",G50*Assumptions!$B$9/0.5,G50/N50)))))</f>
        <v>76.1904761904762</v>
      </c>
      <c r="W50" s="10" t="n">
        <f aca="false">IF(V50=0,"",T50/V50)</f>
        <v>0.6</v>
      </c>
      <c r="X50" s="10" t="n">
        <f aca="false">R50/N50</f>
        <v>1.66666666666667</v>
      </c>
      <c r="Y50" s="6" t="str">
        <f aca="false">IF(D50="aura",IF(R50&gt;Assumptions!$B$11,"ticks needed","pulse ok"),"")</f>
        <v/>
      </c>
      <c r="Z50" s="6"/>
    </row>
    <row r="51" customFormat="false" ht="15" hidden="false" customHeight="false" outlineLevel="0" collapsed="false">
      <c r="A51" s="6" t="s">
        <v>199</v>
      </c>
      <c r="B51" s="6" t="s">
        <v>200</v>
      </c>
      <c r="C51" s="6" t="s">
        <v>201</v>
      </c>
      <c r="D51" s="6" t="s">
        <v>53</v>
      </c>
      <c r="E51" s="6" t="s">
        <v>54</v>
      </c>
      <c r="F51" s="6" t="s">
        <v>55</v>
      </c>
      <c r="G51" s="9" t="n">
        <v>60</v>
      </c>
      <c r="H51" s="9" t="n">
        <v>25</v>
      </c>
      <c r="I51" s="9" t="n">
        <v>100</v>
      </c>
      <c r="J51" s="9"/>
      <c r="K51" s="9"/>
      <c r="L51" s="9"/>
      <c r="M51" s="9"/>
      <c r="N51" s="9" t="n">
        <v>0.45</v>
      </c>
      <c r="O51" s="7" t="n">
        <f aca="false">IF(AND(J51&lt;&gt;"",K51&lt;&gt;""),(J51+K51)/2,1)</f>
        <v>1</v>
      </c>
      <c r="P51" s="7" t="n">
        <f aca="false">G51*IF(I51="",100,I51)/100</f>
        <v>60</v>
      </c>
      <c r="Q51" s="7" t="n">
        <f aca="false">P51*O51</f>
        <v>60</v>
      </c>
      <c r="R51" s="10" t="n">
        <f aca="false">Assumptions!$B$4*(Assumptions!$B$5/H51)^Assumptions!$B$6</f>
        <v>0.7</v>
      </c>
      <c r="S51" s="10" t="n">
        <f aca="false">IF(D51="cone",MIN(L51,Assumptions!$B$8),IF(D51="orbit",L51*M51/(2*PI())*R51,IF(D51="boomerang",2,IF(D51="aura",IF(Assumptions!$B$10=1,R51/Assumptions!$B$7,1),IF(D51="trail",Assumptions!$B$9*R51/Assumptions!$B$7,1)))))</f>
        <v>1</v>
      </c>
      <c r="T51" s="7" t="n">
        <f aca="false">Q51/R51</f>
        <v>85.7142857142857</v>
      </c>
      <c r="U51" s="7" t="n">
        <f aca="false">Q51/S51</f>
        <v>60</v>
      </c>
      <c r="V51" s="7" t="n">
        <f aca="false">IF(D51="cone",G51*L51/N51,IF(D51="orbit",G51*L51*M51/(2*PI()),IF(D51="boomerang",G51*2/N51,IF(D51="projectile",G51*L51/N51,IF(D51="trail",G51*Assumptions!$B$9/0.5,G51/N51)))))</f>
        <v>133.333333333333</v>
      </c>
      <c r="W51" s="10" t="n">
        <f aca="false">IF(V51=0,"",T51/V51)</f>
        <v>0.642857142857143</v>
      </c>
      <c r="X51" s="10" t="n">
        <f aca="false">R51/N51</f>
        <v>1.55555555555556</v>
      </c>
      <c r="Y51" s="6" t="str">
        <f aca="false">IF(D51="aura",IF(R51&gt;Assumptions!$B$11,"ticks needed","pulse ok"),"")</f>
        <v/>
      </c>
      <c r="Z51" s="6"/>
    </row>
    <row r="52" customFormat="false" ht="15" hidden="false" customHeight="false" outlineLevel="0" collapsed="false">
      <c r="A52" s="6" t="s">
        <v>202</v>
      </c>
      <c r="B52" s="6" t="s">
        <v>203</v>
      </c>
      <c r="C52" s="6" t="s">
        <v>201</v>
      </c>
      <c r="D52" s="6" t="s">
        <v>86</v>
      </c>
      <c r="E52" s="6" t="s">
        <v>87</v>
      </c>
      <c r="F52" s="6" t="s">
        <v>75</v>
      </c>
      <c r="G52" s="9" t="n">
        <v>80</v>
      </c>
      <c r="H52" s="9" t="n">
        <v>15</v>
      </c>
      <c r="I52" s="9" t="n">
        <v>100</v>
      </c>
      <c r="J52" s="9"/>
      <c r="K52" s="9"/>
      <c r="L52" s="9" t="n">
        <v>10</v>
      </c>
      <c r="M52" s="9"/>
      <c r="N52" s="9" t="n">
        <v>1.15</v>
      </c>
      <c r="O52" s="7" t="n">
        <f aca="false">IF(AND(J52&lt;&gt;"",K52&lt;&gt;""),(J52+K52)/2,1)</f>
        <v>1</v>
      </c>
      <c r="P52" s="7" t="n">
        <f aca="false">G52*IF(I52="",100,I52)/100</f>
        <v>80</v>
      </c>
      <c r="Q52" s="7" t="n">
        <f aca="false">P52*O52</f>
        <v>80</v>
      </c>
      <c r="R52" s="10" t="n">
        <f aca="false">Assumptions!$B$4*(Assumptions!$B$5/H52)^Assumptions!$B$6</f>
        <v>1.16666666666667</v>
      </c>
      <c r="S52" s="10" t="n">
        <f aca="false">IF(D52="cone",MIN(L52,Assumptions!$B$8),IF(D52="orbit",L52*M52/(2*PI())*R52,IF(D52="boomerang",2,IF(D52="aura",IF(Assumptions!$B$10=1,R52/Assumptions!$B$7,1),IF(D52="trail",Assumptions!$B$9*R52/Assumptions!$B$7,1)))))</f>
        <v>1</v>
      </c>
      <c r="T52" s="7" t="n">
        <f aca="false">Q52/R52</f>
        <v>68.5714285714286</v>
      </c>
      <c r="U52" s="7" t="n">
        <f aca="false">Q52/S52</f>
        <v>80</v>
      </c>
      <c r="V52" s="7" t="n">
        <f aca="false">IF(D52="cone",G52*L52/N52,IF(D52="orbit",G52*L52*M52/(2*PI()),IF(D52="boomerang",G52*2/N52,IF(D52="projectile",G52*L52/N52,IF(D52="trail",G52*Assumptions!$B$9/0.5,G52/N52)))))</f>
        <v>69.5652173913044</v>
      </c>
      <c r="W52" s="10" t="n">
        <f aca="false">IF(V52=0,"",T52/V52)</f>
        <v>0.985714285714286</v>
      </c>
      <c r="X52" s="10" t="n">
        <f aca="false">R52/N52</f>
        <v>1.01449275362319</v>
      </c>
      <c r="Y52" s="6" t="str">
        <f aca="false">IF(D52="aura",IF(R52&gt;Assumptions!$B$11,"ticks needed","pulse ok"),"")</f>
        <v/>
      </c>
      <c r="Z52" s="6"/>
    </row>
    <row r="53" customFormat="false" ht="15" hidden="false" customHeight="false" outlineLevel="0" collapsed="false">
      <c r="A53" s="6" t="s">
        <v>204</v>
      </c>
      <c r="B53" s="6" t="s">
        <v>205</v>
      </c>
      <c r="C53" s="6" t="s">
        <v>201</v>
      </c>
      <c r="D53" s="6" t="s">
        <v>111</v>
      </c>
      <c r="E53" s="6" t="s">
        <v>112</v>
      </c>
      <c r="F53" s="6" t="s">
        <v>75</v>
      </c>
      <c r="G53" s="9" t="n">
        <v>0</v>
      </c>
      <c r="H53" s="9" t="n">
        <v>15</v>
      </c>
      <c r="I53" s="9" t="n">
        <v>100</v>
      </c>
      <c r="J53" s="9"/>
      <c r="K53" s="9"/>
      <c r="L53" s="9"/>
      <c r="M53" s="9"/>
      <c r="N53" s="9" t="n">
        <v>0.5</v>
      </c>
      <c r="O53" s="7" t="n">
        <f aca="false">IF(AND(J53&lt;&gt;"",K53&lt;&gt;""),(J53+K53)/2,1)</f>
        <v>1</v>
      </c>
      <c r="P53" s="7" t="n">
        <f aca="false">G53*IF(I53="",100,I53)/100</f>
        <v>0</v>
      </c>
      <c r="Q53" s="7" t="n">
        <f aca="false">P53*O53</f>
        <v>0</v>
      </c>
      <c r="R53" s="10" t="n">
        <f aca="false">Assumptions!$B$4*(Assumptions!$B$5/H53)^Assumptions!$B$6</f>
        <v>1.16666666666667</v>
      </c>
      <c r="S53" s="10" t="n">
        <f aca="false">IF(D53="cone",MIN(L53,Assumptions!$B$8),IF(D53="orbit",L53*M53/(2*PI())*R53,IF(D53="boomerang",2,IF(D53="aura",IF(Assumptions!$B$10=1,R53/Assumptions!$B$7,1),IF(D53="trail",Assumptions!$B$9*R53/Assumptions!$B$7,1)))))</f>
        <v>2.33333333333333</v>
      </c>
      <c r="T53" s="7" t="n">
        <f aca="false">Q53/R53</f>
        <v>0</v>
      </c>
      <c r="U53" s="7" t="n">
        <f aca="false">Q53/S53</f>
        <v>0</v>
      </c>
      <c r="V53" s="7" t="n">
        <f aca="false">IF(D53="cone",G53*L53/N53,IF(D53="orbit",G53*L53*M53/(2*PI()),IF(D53="boomerang",G53*2/N53,IF(D53="projectile",G53*L53/N53,IF(D53="trail",G53*Assumptions!$B$9/0.5,G53/N53)))))</f>
        <v>0</v>
      </c>
      <c r="W53" s="10" t="str">
        <f aca="false">IF(V53=0,"",T53/V53)</f>
        <v/>
      </c>
      <c r="X53" s="10" t="n">
        <f aca="false">R53/N53</f>
        <v>2.33333333333333</v>
      </c>
      <c r="Y53" s="6" t="str">
        <f aca="false">IF(D53="aura",IF(R53&gt;Assumptions!$B$11,"ticks needed","pulse ok"),"")</f>
        <v>ticks needed</v>
      </c>
      <c r="Z53" s="6" t="s">
        <v>159</v>
      </c>
    </row>
    <row r="54" customFormat="false" ht="15" hidden="false" customHeight="false" outlineLevel="0" collapsed="false">
      <c r="A54" s="6" t="s">
        <v>206</v>
      </c>
      <c r="B54" s="6" t="s">
        <v>207</v>
      </c>
      <c r="C54" s="6" t="s">
        <v>133</v>
      </c>
      <c r="D54" s="6" t="s">
        <v>104</v>
      </c>
      <c r="E54" s="6" t="s">
        <v>105</v>
      </c>
      <c r="F54" s="6" t="s">
        <v>55</v>
      </c>
      <c r="G54" s="9" t="n">
        <v>50</v>
      </c>
      <c r="H54" s="9" t="n">
        <v>10</v>
      </c>
      <c r="I54" s="9" t="n">
        <v>90</v>
      </c>
      <c r="J54" s="9" t="n">
        <v>2</v>
      </c>
      <c r="K54" s="9" t="n">
        <v>2</v>
      </c>
      <c r="L54" s="9" t="n">
        <v>1</v>
      </c>
      <c r="M54" s="9"/>
      <c r="N54" s="9" t="n">
        <v>0.95</v>
      </c>
      <c r="O54" s="7" t="n">
        <f aca="false">IF(AND(J54&lt;&gt;"",K54&lt;&gt;""),(J54+K54)/2,1)</f>
        <v>2</v>
      </c>
      <c r="P54" s="7" t="n">
        <f aca="false">G54*IF(I54="",100,I54)/100</f>
        <v>45</v>
      </c>
      <c r="Q54" s="7" t="n">
        <f aca="false">P54*O54</f>
        <v>90</v>
      </c>
      <c r="R54" s="10" t="n">
        <f aca="false">Assumptions!$B$4*(Assumptions!$B$5/H54)^Assumptions!$B$6</f>
        <v>1.75</v>
      </c>
      <c r="S54" s="10" t="n">
        <f aca="false">IF(D54="cone",MIN(L54,Assumptions!$B$8),IF(D54="orbit",L54*M54/(2*PI())*R54,IF(D54="boomerang",2,IF(D54="aura",IF(Assumptions!$B$10=1,R54/Assumptions!$B$7,1),IF(D54="trail",Assumptions!$B$9*R54/Assumptions!$B$7,1)))))</f>
        <v>2</v>
      </c>
      <c r="T54" s="7" t="n">
        <f aca="false">Q54/R54</f>
        <v>51.4285714285714</v>
      </c>
      <c r="U54" s="7" t="n">
        <f aca="false">Q54/S54</f>
        <v>45</v>
      </c>
      <c r="V54" s="7" t="n">
        <f aca="false">IF(D54="cone",G54*L54/N54,IF(D54="orbit",G54*L54*M54/(2*PI()),IF(D54="boomerang",G54*2/N54,IF(D54="projectile",G54*L54/N54,IF(D54="trail",G54*Assumptions!$B$9/0.5,G54/N54)))))</f>
        <v>105.263157894737</v>
      </c>
      <c r="W54" s="10" t="n">
        <f aca="false">IF(V54=0,"",T54/V54)</f>
        <v>0.488571428571429</v>
      </c>
      <c r="X54" s="10" t="n">
        <f aca="false">R54/N54</f>
        <v>1.8421052631579</v>
      </c>
      <c r="Y54" s="6" t="str">
        <f aca="false">IF(D54="aura",IF(R54&gt;Assumptions!$B$11,"ticks needed","pulse ok"),"")</f>
        <v/>
      </c>
      <c r="Z54" s="6" t="s">
        <v>208</v>
      </c>
    </row>
    <row r="55" customFormat="false" ht="15" hidden="false" customHeight="false" outlineLevel="0" collapsed="false">
      <c r="A55" s="6" t="s">
        <v>209</v>
      </c>
      <c r="B55" s="6" t="s">
        <v>210</v>
      </c>
      <c r="C55" s="6" t="s">
        <v>124</v>
      </c>
      <c r="D55" s="6" t="s">
        <v>104</v>
      </c>
      <c r="E55" s="6" t="s">
        <v>105</v>
      </c>
      <c r="F55" s="6" t="s">
        <v>55</v>
      </c>
      <c r="G55" s="9" t="n">
        <v>70</v>
      </c>
      <c r="H55" s="9" t="n">
        <v>20</v>
      </c>
      <c r="I55" s="9" t="n">
        <v>100</v>
      </c>
      <c r="J55" s="9"/>
      <c r="K55" s="9"/>
      <c r="L55" s="9" t="n">
        <v>2</v>
      </c>
      <c r="M55" s="9"/>
      <c r="N55" s="9" t="n">
        <v>0.8</v>
      </c>
      <c r="O55" s="7" t="n">
        <f aca="false">IF(AND(J55&lt;&gt;"",K55&lt;&gt;""),(J55+K55)/2,1)</f>
        <v>1</v>
      </c>
      <c r="P55" s="7" t="n">
        <f aca="false">G55*IF(I55="",100,I55)/100</f>
        <v>70</v>
      </c>
      <c r="Q55" s="7" t="n">
        <f aca="false">P55*O55</f>
        <v>70</v>
      </c>
      <c r="R55" s="10" t="n">
        <f aca="false">Assumptions!$B$4*(Assumptions!$B$5/H55)^Assumptions!$B$6</f>
        <v>0.875</v>
      </c>
      <c r="S55" s="10" t="n">
        <f aca="false">IF(D55="cone",MIN(L55,Assumptions!$B$8),IF(D55="orbit",L55*M55/(2*PI())*R55,IF(D55="boomerang",2,IF(D55="aura",IF(Assumptions!$B$10=1,R55/Assumptions!$B$7,1),IF(D55="trail",Assumptions!$B$9*R55/Assumptions!$B$7,1)))))</f>
        <v>2</v>
      </c>
      <c r="T55" s="7" t="n">
        <f aca="false">Q55/R55</f>
        <v>80</v>
      </c>
      <c r="U55" s="7" t="n">
        <f aca="false">Q55/S55</f>
        <v>35</v>
      </c>
      <c r="V55" s="7" t="n">
        <f aca="false">IF(D55="cone",G55*L55/N55,IF(D55="orbit",G55*L55*M55/(2*PI()),IF(D55="boomerang",G55*2/N55,IF(D55="projectile",G55*L55/N55,IF(D55="trail",G55*Assumptions!$B$9/0.5,G55/N55)))))</f>
        <v>175</v>
      </c>
      <c r="W55" s="10" t="n">
        <f aca="false">IF(V55=0,"",T55/V55)</f>
        <v>0.457142857142857</v>
      </c>
      <c r="X55" s="10" t="n">
        <f aca="false">R55/N55</f>
        <v>1.09375</v>
      </c>
      <c r="Y55" s="6" t="str">
        <f aca="false">IF(D55="aura",IF(R55&gt;Assumptions!$B$11,"ticks needed","pulse ok"),"")</f>
        <v/>
      </c>
      <c r="Z55" s="6"/>
    </row>
    <row r="56" customFormat="false" ht="15" hidden="false" customHeight="false" outlineLevel="0" collapsed="false">
      <c r="A56" s="6" t="s">
        <v>211</v>
      </c>
      <c r="B56" s="6" t="s">
        <v>212</v>
      </c>
      <c r="C56" s="6" t="s">
        <v>133</v>
      </c>
      <c r="D56" s="6" t="s">
        <v>157</v>
      </c>
      <c r="E56" s="6" t="s">
        <v>158</v>
      </c>
      <c r="F56" s="6" t="s">
        <v>64</v>
      </c>
      <c r="G56" s="9" t="n">
        <v>0</v>
      </c>
      <c r="H56" s="9" t="n">
        <v>20</v>
      </c>
      <c r="I56" s="9"/>
      <c r="J56" s="9"/>
      <c r="K56" s="9"/>
      <c r="L56" s="9" t="n">
        <v>2</v>
      </c>
      <c r="M56" s="9"/>
      <c r="N56" s="9" t="n">
        <v>1.2</v>
      </c>
      <c r="O56" s="7" t="n">
        <f aca="false">IF(AND(J56&lt;&gt;"",K56&lt;&gt;""),(J56+K56)/2,1)</f>
        <v>1</v>
      </c>
      <c r="P56" s="7" t="n">
        <f aca="false">G56*IF(I56="",100,I56)/100</f>
        <v>0</v>
      </c>
      <c r="Q56" s="7" t="n">
        <f aca="false">P56*O56</f>
        <v>0</v>
      </c>
      <c r="R56" s="10" t="n">
        <f aca="false">Assumptions!$B$4*(Assumptions!$B$5/H56)^Assumptions!$B$6</f>
        <v>0.875</v>
      </c>
      <c r="S56" s="10" t="n">
        <f aca="false">IF(D56="cone",MIN(L56,Assumptions!$B$8),IF(D56="orbit",L56*M56/(2*PI())*R56,IF(D56="boomerang",2,IF(D56="aura",IF(Assumptions!$B$10=1,R56/Assumptions!$B$7,1),IF(D56="trail",Assumptions!$B$9*R56/Assumptions!$B$7,1)))))</f>
        <v>1</v>
      </c>
      <c r="T56" s="7" t="n">
        <f aca="false">Q56/R56</f>
        <v>0</v>
      </c>
      <c r="U56" s="7" t="n">
        <f aca="false">Q56/S56</f>
        <v>0</v>
      </c>
      <c r="V56" s="7" t="n">
        <f aca="false">IF(D56="cone",G56*L56/N56,IF(D56="orbit",G56*L56*M56/(2*PI()),IF(D56="boomerang",G56*2/N56,IF(D56="projectile",G56*L56/N56,IF(D56="trail",G56*Assumptions!$B$9/0.5,G56/N56)))))</f>
        <v>0</v>
      </c>
      <c r="W56" s="10" t="str">
        <f aca="false">IF(V56=0,"",T56/V56)</f>
        <v/>
      </c>
      <c r="X56" s="10" t="n">
        <f aca="false">R56/N56</f>
        <v>0.729166666666667</v>
      </c>
      <c r="Y56" s="6" t="str">
        <f aca="false">IF(D56="aura",IF(R56&gt;Assumptions!$B$11,"ticks needed","pulse ok"),"")</f>
        <v/>
      </c>
      <c r="Z56" s="6" t="s">
        <v>159</v>
      </c>
    </row>
    <row r="57" customFormat="false" ht="15" hidden="false" customHeight="false" outlineLevel="0" collapsed="false">
      <c r="A57" s="6" t="s">
        <v>213</v>
      </c>
      <c r="B57" s="6" t="s">
        <v>214</v>
      </c>
      <c r="C57" s="6" t="s">
        <v>130</v>
      </c>
      <c r="D57" s="6" t="s">
        <v>157</v>
      </c>
      <c r="E57" s="6" t="s">
        <v>158</v>
      </c>
      <c r="F57" s="6" t="s">
        <v>64</v>
      </c>
      <c r="G57" s="9" t="n">
        <v>0</v>
      </c>
      <c r="H57" s="9" t="n">
        <v>20</v>
      </c>
      <c r="I57" s="9"/>
      <c r="J57" s="9"/>
      <c r="K57" s="9"/>
      <c r="L57" s="9" t="n">
        <v>2</v>
      </c>
      <c r="M57" s="9"/>
      <c r="N57" s="9" t="n">
        <v>1.1</v>
      </c>
      <c r="O57" s="7" t="n">
        <f aca="false">IF(AND(J57&lt;&gt;"",K57&lt;&gt;""),(J57+K57)/2,1)</f>
        <v>1</v>
      </c>
      <c r="P57" s="7" t="n">
        <f aca="false">G57*IF(I57="",100,I57)/100</f>
        <v>0</v>
      </c>
      <c r="Q57" s="7" t="n">
        <f aca="false">P57*O57</f>
        <v>0</v>
      </c>
      <c r="R57" s="10" t="n">
        <f aca="false">Assumptions!$B$4*(Assumptions!$B$5/H57)^Assumptions!$B$6</f>
        <v>0.875</v>
      </c>
      <c r="S57" s="10" t="n">
        <f aca="false">IF(D57="cone",MIN(L57,Assumptions!$B$8),IF(D57="orbit",L57*M57/(2*PI())*R57,IF(D57="boomerang",2,IF(D57="aura",IF(Assumptions!$B$10=1,R57/Assumptions!$B$7,1),IF(D57="trail",Assumptions!$B$9*R57/Assumptions!$B$7,1)))))</f>
        <v>1</v>
      </c>
      <c r="T57" s="7" t="n">
        <f aca="false">Q57/R57</f>
        <v>0</v>
      </c>
      <c r="U57" s="7" t="n">
        <f aca="false">Q57/S57</f>
        <v>0</v>
      </c>
      <c r="V57" s="7" t="n">
        <f aca="false">IF(D57="cone",G57*L57/N57,IF(D57="orbit",G57*L57*M57/(2*PI()),IF(D57="boomerang",G57*2/N57,IF(D57="projectile",G57*L57/N57,IF(D57="trail",G57*Assumptions!$B$9/0.5,G57/N57)))))</f>
        <v>0</v>
      </c>
      <c r="W57" s="10" t="str">
        <f aca="false">IF(V57=0,"",T57/V57)</f>
        <v/>
      </c>
      <c r="X57" s="10" t="n">
        <f aca="false">R57/N57</f>
        <v>0.795454545454545</v>
      </c>
      <c r="Y57" s="6" t="str">
        <f aca="false">IF(D57="aura",IF(R57&gt;Assumptions!$B$11,"ticks needed","pulse ok"),"")</f>
        <v/>
      </c>
      <c r="Z57" s="6" t="s">
        <v>159</v>
      </c>
    </row>
    <row r="58" customFormat="false" ht="15" hidden="false" customHeight="false" outlineLevel="0" collapsed="false">
      <c r="A58" s="6" t="s">
        <v>215</v>
      </c>
      <c r="B58" s="6" t="s">
        <v>216</v>
      </c>
      <c r="C58" s="6" t="s">
        <v>171</v>
      </c>
      <c r="D58" s="6" t="s">
        <v>167</v>
      </c>
      <c r="E58" s="6" t="s">
        <v>168</v>
      </c>
      <c r="F58" s="6" t="s">
        <v>64</v>
      </c>
      <c r="G58" s="9" t="n">
        <v>0</v>
      </c>
      <c r="H58" s="9" t="n">
        <v>10</v>
      </c>
      <c r="I58" s="9"/>
      <c r="J58" s="9"/>
      <c r="K58" s="9"/>
      <c r="L58" s="9" t="n">
        <v>4</v>
      </c>
      <c r="M58" s="9"/>
      <c r="N58" s="9" t="n">
        <v>1.2</v>
      </c>
      <c r="O58" s="7" t="n">
        <f aca="false">IF(AND(J58&lt;&gt;"",K58&lt;&gt;""),(J58+K58)/2,1)</f>
        <v>1</v>
      </c>
      <c r="P58" s="7" t="n">
        <f aca="false">G58*IF(I58="",100,I58)/100</f>
        <v>0</v>
      </c>
      <c r="Q58" s="7" t="n">
        <f aca="false">P58*O58</f>
        <v>0</v>
      </c>
      <c r="R58" s="10" t="n">
        <f aca="false">Assumptions!$B$4*(Assumptions!$B$5/H58)^Assumptions!$B$6</f>
        <v>1.75</v>
      </c>
      <c r="S58" s="10" t="n">
        <f aca="false">IF(D58="cone",MIN(L58,Assumptions!$B$8),IF(D58="orbit",L58*M58/(2*PI())*R58,IF(D58="boomerang",2,IF(D58="aura",IF(Assumptions!$B$10=1,R58/Assumptions!$B$7,1),IF(D58="trail",Assumptions!$B$9*R58/Assumptions!$B$7,1)))))</f>
        <v>1</v>
      </c>
      <c r="T58" s="7" t="n">
        <f aca="false">Q58/R58</f>
        <v>0</v>
      </c>
      <c r="U58" s="7" t="n">
        <f aca="false">Q58/S58</f>
        <v>0</v>
      </c>
      <c r="V58" s="7" t="n">
        <f aca="false">IF(D58="cone",G58*L58/N58,IF(D58="orbit",G58*L58*M58/(2*PI()),IF(D58="boomerang",G58*2/N58,IF(D58="projectile",G58*L58/N58,IF(D58="trail",G58*Assumptions!$B$9/0.5,G58/N58)))))</f>
        <v>0</v>
      </c>
      <c r="W58" s="10" t="str">
        <f aca="false">IF(V58=0,"",T58/V58)</f>
        <v/>
      </c>
      <c r="X58" s="10" t="n">
        <f aca="false">R58/N58</f>
        <v>1.45833333333333</v>
      </c>
      <c r="Y58" s="6" t="str">
        <f aca="false">IF(D58="aura",IF(R58&gt;Assumptions!$B$11,"ticks needed","pulse ok"),"")</f>
        <v/>
      </c>
      <c r="Z58" s="6" t="s">
        <v>159</v>
      </c>
    </row>
    <row r="59" customFormat="false" ht="15" hidden="false" customHeight="false" outlineLevel="0" collapsed="false">
      <c r="A59" s="6" t="s">
        <v>217</v>
      </c>
      <c r="B59" s="6" t="s">
        <v>218</v>
      </c>
      <c r="C59" s="6" t="s">
        <v>196</v>
      </c>
      <c r="D59" s="6" t="s">
        <v>167</v>
      </c>
      <c r="E59" s="6" t="s">
        <v>168</v>
      </c>
      <c r="F59" s="6" t="s">
        <v>55</v>
      </c>
      <c r="G59" s="9" t="n">
        <v>90</v>
      </c>
      <c r="H59" s="9" t="n">
        <v>10</v>
      </c>
      <c r="I59" s="9" t="n">
        <v>90</v>
      </c>
      <c r="J59" s="9"/>
      <c r="K59" s="9"/>
      <c r="L59" s="9" t="n">
        <v>2</v>
      </c>
      <c r="M59" s="9"/>
      <c r="N59" s="9" t="n">
        <v>1.4</v>
      </c>
      <c r="O59" s="7" t="n">
        <f aca="false">IF(AND(J59&lt;&gt;"",K59&lt;&gt;""),(J59+K59)/2,1)</f>
        <v>1</v>
      </c>
      <c r="P59" s="7" t="n">
        <f aca="false">G59*IF(I59="",100,I59)/100</f>
        <v>81</v>
      </c>
      <c r="Q59" s="7" t="n">
        <f aca="false">P59*O59</f>
        <v>81</v>
      </c>
      <c r="R59" s="10" t="n">
        <f aca="false">Assumptions!$B$4*(Assumptions!$B$5/H59)^Assumptions!$B$6</f>
        <v>1.75</v>
      </c>
      <c r="S59" s="10" t="n">
        <f aca="false">IF(D59="cone",MIN(L59,Assumptions!$B$8),IF(D59="orbit",L59*M59/(2*PI())*R59,IF(D59="boomerang",2,IF(D59="aura",IF(Assumptions!$B$10=1,R59/Assumptions!$B$7,1),IF(D59="trail",Assumptions!$B$9*R59/Assumptions!$B$7,1)))))</f>
        <v>1</v>
      </c>
      <c r="T59" s="7" t="n">
        <f aca="false">Q59/R59</f>
        <v>46.2857142857143</v>
      </c>
      <c r="U59" s="7" t="n">
        <f aca="false">Q59/S59</f>
        <v>81</v>
      </c>
      <c r="V59" s="7" t="n">
        <f aca="false">IF(D59="cone",G59*L59/N59,IF(D59="orbit",G59*L59*M59/(2*PI()),IF(D59="boomerang",G59*2/N59,IF(D59="projectile",G59*L59/N59,IF(D59="trail",G59*Assumptions!$B$9/0.5,G59/N59)))))</f>
        <v>64.2857142857143</v>
      </c>
      <c r="W59" s="10" t="n">
        <f aca="false">IF(V59=0,"",T59/V59)</f>
        <v>0.72</v>
      </c>
      <c r="X59" s="10" t="n">
        <f aca="false">R59/N59</f>
        <v>1.25</v>
      </c>
      <c r="Y59" s="6" t="str">
        <f aca="false">IF(D59="aura",IF(R59&gt;Assumptions!$B$11,"ticks needed","pulse ok"),"")</f>
        <v/>
      </c>
      <c r="Z59" s="6"/>
    </row>
    <row r="60" customFormat="false" ht="15" hidden="false" customHeight="false" outlineLevel="0" collapsed="false">
      <c r="A60" s="6" t="s">
        <v>219</v>
      </c>
      <c r="B60" s="6" t="s">
        <v>220</v>
      </c>
      <c r="C60" s="6" t="s">
        <v>72</v>
      </c>
      <c r="D60" s="6" t="s">
        <v>221</v>
      </c>
      <c r="E60" s="6" t="s">
        <v>222</v>
      </c>
      <c r="F60" s="6" t="s">
        <v>64</v>
      </c>
      <c r="G60" s="9" t="n">
        <v>0</v>
      </c>
      <c r="H60" s="9" t="n">
        <v>15</v>
      </c>
      <c r="I60" s="9" t="n">
        <v>85</v>
      </c>
      <c r="J60" s="9"/>
      <c r="K60" s="9"/>
      <c r="L60" s="9" t="n">
        <v>1</v>
      </c>
      <c r="M60" s="9"/>
      <c r="N60" s="9" t="n">
        <v>3.5</v>
      </c>
      <c r="O60" s="7" t="n">
        <f aca="false">IF(AND(J60&lt;&gt;"",K60&lt;&gt;""),(J60+K60)/2,1)</f>
        <v>1</v>
      </c>
      <c r="P60" s="7" t="n">
        <f aca="false">G60*IF(I60="",100,I60)/100</f>
        <v>0</v>
      </c>
      <c r="Q60" s="7" t="n">
        <f aca="false">P60*O60</f>
        <v>0</v>
      </c>
      <c r="R60" s="10" t="n">
        <f aca="false">Assumptions!$B$4*(Assumptions!$B$5/H60)^Assumptions!$B$6</f>
        <v>1.16666666666667</v>
      </c>
      <c r="S60" s="10" t="n">
        <f aca="false">IF(D60="cone",MIN(L60,Assumptions!$B$8),IF(D60="orbit",L60*M60/(2*PI())*R60,IF(D60="boomerang",2,IF(D60="aura",IF(Assumptions!$B$10=1,R60/Assumptions!$B$7,1),IF(D60="trail",Assumptions!$B$9*R60/Assumptions!$B$7,1)))))</f>
        <v>1</v>
      </c>
      <c r="T60" s="7" t="n">
        <f aca="false">Q60/R60</f>
        <v>0</v>
      </c>
      <c r="U60" s="7" t="n">
        <f aca="false">Q60/S60</f>
        <v>0</v>
      </c>
      <c r="V60" s="7" t="n">
        <f aca="false">IF(D60="cone",G60*L60/N60,IF(D60="orbit",G60*L60*M60/(2*PI()),IF(D60="boomerang",G60*2/N60,IF(D60="projectile",G60*L60/N60,IF(D60="trail",G60*Assumptions!$B$9/0.5,G60/N60)))))</f>
        <v>0</v>
      </c>
      <c r="W60" s="10" t="str">
        <f aca="false">IF(V60=0,"",T60/V60)</f>
        <v/>
      </c>
      <c r="X60" s="10" t="n">
        <f aca="false">R60/N60</f>
        <v>0.333333333333333</v>
      </c>
      <c r="Y60" s="6" t="str">
        <f aca="false">IF(D60="aura",IF(R60&gt;Assumptions!$B$11,"ticks needed","pulse ok"),"")</f>
        <v/>
      </c>
      <c r="Z60" s="6" t="s">
        <v>159</v>
      </c>
    </row>
    <row r="61" customFormat="false" ht="15" hidden="false" customHeight="false" outlineLevel="0" collapsed="false">
      <c r="A61" s="6" t="s">
        <v>223</v>
      </c>
      <c r="B61" s="6" t="s">
        <v>224</v>
      </c>
      <c r="C61" s="6" t="s">
        <v>52</v>
      </c>
      <c r="D61" s="6" t="s">
        <v>221</v>
      </c>
      <c r="E61" s="6" t="s">
        <v>222</v>
      </c>
      <c r="F61" s="6" t="s">
        <v>64</v>
      </c>
      <c r="G61" s="9" t="n">
        <v>0</v>
      </c>
      <c r="H61" s="9" t="n">
        <v>10</v>
      </c>
      <c r="I61" s="9"/>
      <c r="J61" s="9"/>
      <c r="K61" s="9"/>
      <c r="L61" s="9" t="n">
        <v>1</v>
      </c>
      <c r="M61" s="9"/>
      <c r="N61" s="9" t="n">
        <v>4</v>
      </c>
      <c r="O61" s="7" t="n">
        <f aca="false">IF(AND(J61&lt;&gt;"",K61&lt;&gt;""),(J61+K61)/2,1)</f>
        <v>1</v>
      </c>
      <c r="P61" s="7" t="n">
        <f aca="false">G61*IF(I61="",100,I61)/100</f>
        <v>0</v>
      </c>
      <c r="Q61" s="7" t="n">
        <f aca="false">P61*O61</f>
        <v>0</v>
      </c>
      <c r="R61" s="10" t="n">
        <f aca="false">Assumptions!$B$4*(Assumptions!$B$5/H61)^Assumptions!$B$6</f>
        <v>1.75</v>
      </c>
      <c r="S61" s="10" t="n">
        <f aca="false">IF(D61="cone",MIN(L61,Assumptions!$B$8),IF(D61="orbit",L61*M61/(2*PI())*R61,IF(D61="boomerang",2,IF(D61="aura",IF(Assumptions!$B$10=1,R61/Assumptions!$B$7,1),IF(D61="trail",Assumptions!$B$9*R61/Assumptions!$B$7,1)))))</f>
        <v>1</v>
      </c>
      <c r="T61" s="7" t="n">
        <f aca="false">Q61/R61</f>
        <v>0</v>
      </c>
      <c r="U61" s="7" t="n">
        <f aca="false">Q61/S61</f>
        <v>0</v>
      </c>
      <c r="V61" s="7" t="n">
        <f aca="false">IF(D61="cone",G61*L61/N61,IF(D61="orbit",G61*L61*M61/(2*PI()),IF(D61="boomerang",G61*2/N61,IF(D61="projectile",G61*L61/N61,IF(D61="trail",G61*Assumptions!$B$9/0.5,G61/N61)))))</f>
        <v>0</v>
      </c>
      <c r="W61" s="10" t="str">
        <f aca="false">IF(V61=0,"",T61/V61)</f>
        <v/>
      </c>
      <c r="X61" s="10" t="n">
        <f aca="false">R61/N61</f>
        <v>0.4375</v>
      </c>
      <c r="Y61" s="6" t="str">
        <f aca="false">IF(D61="aura",IF(R61&gt;Assumptions!$B$11,"ticks needed","pulse ok"),"")</f>
        <v/>
      </c>
      <c r="Z61" s="6" t="s">
        <v>159</v>
      </c>
    </row>
    <row r="62" customFormat="false" ht="15" hidden="false" customHeight="false" outlineLevel="0" collapsed="false">
      <c r="A62" s="6" t="s">
        <v>225</v>
      </c>
      <c r="B62" s="6" t="s">
        <v>226</v>
      </c>
      <c r="C62" s="6" t="s">
        <v>136</v>
      </c>
      <c r="D62" s="6" t="s">
        <v>58</v>
      </c>
      <c r="E62" s="6" t="s">
        <v>59</v>
      </c>
      <c r="F62" s="6" t="s">
        <v>55</v>
      </c>
      <c r="G62" s="9" t="n">
        <v>60</v>
      </c>
      <c r="H62" s="9" t="n">
        <v>20</v>
      </c>
      <c r="I62" s="9"/>
      <c r="J62" s="9"/>
      <c r="K62" s="9"/>
      <c r="L62" s="9"/>
      <c r="M62" s="9"/>
      <c r="N62" s="9" t="n">
        <v>0.75</v>
      </c>
      <c r="O62" s="7" t="n">
        <f aca="false">IF(AND(J62&lt;&gt;"",K62&lt;&gt;""),(J62+K62)/2,1)</f>
        <v>1</v>
      </c>
      <c r="P62" s="7" t="n">
        <f aca="false">G62*IF(I62="",100,I62)/100</f>
        <v>60</v>
      </c>
      <c r="Q62" s="7" t="n">
        <f aca="false">P62*O62</f>
        <v>60</v>
      </c>
      <c r="R62" s="10" t="n">
        <f aca="false">Assumptions!$B$4*(Assumptions!$B$5/H62)^Assumptions!$B$6</f>
        <v>0.875</v>
      </c>
      <c r="S62" s="10" t="n">
        <f aca="false">IF(D62="cone",MIN(L62,Assumptions!$B$8),IF(D62="orbit",L62*M62/(2*PI())*R62,IF(D62="boomerang",2,IF(D62="aura",IF(Assumptions!$B$10=1,R62/Assumptions!$B$7,1),IF(D62="trail",Assumptions!$B$9*R62/Assumptions!$B$7,1)))))</f>
        <v>1</v>
      </c>
      <c r="T62" s="7" t="n">
        <f aca="false">Q62/R62</f>
        <v>68.5714285714286</v>
      </c>
      <c r="U62" s="7" t="n">
        <f aca="false">Q62/S62</f>
        <v>60</v>
      </c>
      <c r="V62" s="7" t="n">
        <f aca="false">IF(D62="cone",G62*L62/N62,IF(D62="orbit",G62*L62*M62/(2*PI()),IF(D62="boomerang",G62*2/N62,IF(D62="projectile",G62*L62/N62,IF(D62="trail",G62*Assumptions!$B$9/0.5,G62/N62)))))</f>
        <v>80</v>
      </c>
      <c r="W62" s="10" t="n">
        <f aca="false">IF(V62=0,"",T62/V62)</f>
        <v>0.857142857142857</v>
      </c>
      <c r="X62" s="10" t="n">
        <f aca="false">R62/N62</f>
        <v>1.16666666666667</v>
      </c>
      <c r="Y62" s="6" t="str">
        <f aca="false">IF(D62="aura",IF(R62&gt;Assumptions!$B$11,"ticks needed","pulse ok"),"")</f>
        <v/>
      </c>
      <c r="Z62" s="6"/>
    </row>
    <row r="63" customFormat="false" ht="15" hidden="false" customHeight="false" outlineLevel="0" collapsed="false">
      <c r="A63" s="6" t="s">
        <v>227</v>
      </c>
      <c r="B63" s="6" t="s">
        <v>228</v>
      </c>
      <c r="C63" s="6" t="s">
        <v>72</v>
      </c>
      <c r="D63" s="6" t="s">
        <v>147</v>
      </c>
      <c r="E63" s="6" t="s">
        <v>148</v>
      </c>
      <c r="F63" s="6" t="s">
        <v>55</v>
      </c>
      <c r="G63" s="9" t="n">
        <v>60</v>
      </c>
      <c r="H63" s="9" t="n">
        <v>25</v>
      </c>
      <c r="I63" s="9" t="n">
        <v>100</v>
      </c>
      <c r="J63" s="9"/>
      <c r="K63" s="9"/>
      <c r="L63" s="9"/>
      <c r="M63" s="9"/>
      <c r="N63" s="9" t="n">
        <v>0.28</v>
      </c>
      <c r="O63" s="7" t="n">
        <f aca="false">IF(AND(J63&lt;&gt;"",K63&lt;&gt;""),(J63+K63)/2,1)</f>
        <v>1</v>
      </c>
      <c r="P63" s="7" t="n">
        <f aca="false">G63*IF(I63="",100,I63)/100</f>
        <v>60</v>
      </c>
      <c r="Q63" s="7" t="n">
        <f aca="false">P63*O63</f>
        <v>60</v>
      </c>
      <c r="R63" s="10" t="n">
        <f aca="false">Assumptions!$B$4*(Assumptions!$B$5/H63)^Assumptions!$B$6</f>
        <v>0.7</v>
      </c>
      <c r="S63" s="10" t="n">
        <f aca="false">IF(D63="cone",MIN(L63,Assumptions!$B$8),IF(D63="orbit",L63*M63/(2*PI())*R63,IF(D63="boomerang",2,IF(D63="aura",IF(Assumptions!$B$10=1,R63/Assumptions!$B$7,1),IF(D63="trail",Assumptions!$B$9*R63/Assumptions!$B$7,1)))))</f>
        <v>2.8</v>
      </c>
      <c r="T63" s="7" t="n">
        <f aca="false">Q63/R63</f>
        <v>85.7142857142857</v>
      </c>
      <c r="U63" s="7" t="n">
        <f aca="false">Q63/S63</f>
        <v>21.4285714285714</v>
      </c>
      <c r="V63" s="7" t="n">
        <f aca="false">IF(D63="cone",G63*L63/N63,IF(D63="orbit",G63*L63*M63/(2*PI()),IF(D63="boomerang",G63*2/N63,IF(D63="projectile",G63*L63/N63,IF(D63="trail",G63*Assumptions!$B$9/0.5,G63/N63)))))</f>
        <v>240</v>
      </c>
      <c r="W63" s="10" t="n">
        <f aca="false">IF(V63=0,"",T63/V63)</f>
        <v>0.357142857142857</v>
      </c>
      <c r="X63" s="10" t="n">
        <f aca="false">R63/N63</f>
        <v>2.5</v>
      </c>
      <c r="Y63" s="6" t="str">
        <f aca="false">IF(D63="aura",IF(R63&gt;Assumptions!$B$11,"ticks needed","pulse ok"),"")</f>
        <v/>
      </c>
      <c r="Z63" s="6" t="s">
        <v>149</v>
      </c>
    </row>
    <row r="64" customFormat="false" ht="15" hidden="false" customHeight="false" outlineLevel="0" collapsed="false">
      <c r="A64" s="6" t="s">
        <v>229</v>
      </c>
      <c r="B64" s="6" t="s">
        <v>230</v>
      </c>
      <c r="C64" s="6" t="s">
        <v>90</v>
      </c>
      <c r="D64" s="6" t="s">
        <v>78</v>
      </c>
      <c r="E64" s="6" t="s">
        <v>79</v>
      </c>
      <c r="F64" s="6" t="s">
        <v>75</v>
      </c>
      <c r="G64" s="9" t="n">
        <v>65</v>
      </c>
      <c r="H64" s="9" t="n">
        <v>20</v>
      </c>
      <c r="I64" s="9" t="n">
        <v>100</v>
      </c>
      <c r="J64" s="9"/>
      <c r="K64" s="9"/>
      <c r="L64" s="9" t="n">
        <v>7</v>
      </c>
      <c r="M64" s="9"/>
      <c r="N64" s="9" t="n">
        <v>0.65</v>
      </c>
      <c r="O64" s="7" t="n">
        <f aca="false">IF(AND(J64&lt;&gt;"",K64&lt;&gt;""),(J64+K64)/2,1)</f>
        <v>1</v>
      </c>
      <c r="P64" s="7" t="n">
        <f aca="false">G64*IF(I64="",100,I64)/100</f>
        <v>65</v>
      </c>
      <c r="Q64" s="7" t="n">
        <f aca="false">P64*O64</f>
        <v>65</v>
      </c>
      <c r="R64" s="10" t="n">
        <f aca="false">Assumptions!$B$4*(Assumptions!$B$5/H64)^Assumptions!$B$6</f>
        <v>0.875</v>
      </c>
      <c r="S64" s="10" t="n">
        <f aca="false">IF(D64="cone",MIN(L64,Assumptions!$B$8),IF(D64="orbit",L64*M64/(2*PI())*R64,IF(D64="boomerang",2,IF(D64="aura",IF(Assumptions!$B$10=1,R64/Assumptions!$B$7,1),IF(D64="trail",Assumptions!$B$9*R64/Assumptions!$B$7,1)))))</f>
        <v>3</v>
      </c>
      <c r="T64" s="7" t="n">
        <f aca="false">Q64/R64</f>
        <v>74.2857142857143</v>
      </c>
      <c r="U64" s="7" t="n">
        <f aca="false">Q64/S64</f>
        <v>21.6666666666667</v>
      </c>
      <c r="V64" s="7" t="n">
        <f aca="false">IF(D64="cone",G64*L64/N64,IF(D64="orbit",G64*L64*M64/(2*PI()),IF(D64="boomerang",G64*2/N64,IF(D64="projectile",G64*L64/N64,IF(D64="trail",G64*Assumptions!$B$9/0.5,G64/N64)))))</f>
        <v>700</v>
      </c>
      <c r="W64" s="10" t="n">
        <f aca="false">IF(V64=0,"",T64/V64)</f>
        <v>0.106122448979592</v>
      </c>
      <c r="X64" s="10" t="n">
        <f aca="false">R64/N64</f>
        <v>1.34615384615385</v>
      </c>
      <c r="Y64" s="6" t="str">
        <f aca="false">IF(D64="aura",IF(R64&gt;Assumptions!$B$11,"ticks needed","pulse ok"),"")</f>
        <v/>
      </c>
      <c r="Z64" s="6"/>
    </row>
    <row r="65" customFormat="false" ht="15" hidden="false" customHeight="false" outlineLevel="0" collapsed="false">
      <c r="A65" s="6" t="s">
        <v>231</v>
      </c>
      <c r="B65" s="6" t="s">
        <v>232</v>
      </c>
      <c r="C65" s="6" t="s">
        <v>181</v>
      </c>
      <c r="D65" s="6" t="s">
        <v>120</v>
      </c>
      <c r="E65" s="6" t="s">
        <v>121</v>
      </c>
      <c r="F65" s="6" t="s">
        <v>75</v>
      </c>
      <c r="G65" s="9" t="n">
        <v>65</v>
      </c>
      <c r="H65" s="9" t="n">
        <v>10</v>
      </c>
      <c r="I65" s="9" t="n">
        <v>100</v>
      </c>
      <c r="J65" s="9"/>
      <c r="K65" s="9"/>
      <c r="L65" s="9" t="n">
        <v>4</v>
      </c>
      <c r="M65" s="9"/>
      <c r="N65" s="9" t="n">
        <v>0.9</v>
      </c>
      <c r="O65" s="7" t="n">
        <f aca="false">IF(AND(J65&lt;&gt;"",K65&lt;&gt;""),(J65+K65)/2,1)</f>
        <v>1</v>
      </c>
      <c r="P65" s="7" t="n">
        <f aca="false">G65*IF(I65="",100,I65)/100</f>
        <v>65</v>
      </c>
      <c r="Q65" s="7" t="n">
        <f aca="false">P65*O65</f>
        <v>65</v>
      </c>
      <c r="R65" s="10" t="n">
        <f aca="false">Assumptions!$B$4*(Assumptions!$B$5/H65)^Assumptions!$B$6</f>
        <v>1.75</v>
      </c>
      <c r="S65" s="10" t="n">
        <f aca="false">IF(D65="cone",MIN(L65,Assumptions!$B$8),IF(D65="orbit",L65*M65/(2*PI())*R65,IF(D65="boomerang",2,IF(D65="aura",IF(Assumptions!$B$10=1,R65/Assumptions!$B$7,1),IF(D65="trail",Assumptions!$B$9*R65/Assumptions!$B$7,1)))))</f>
        <v>1</v>
      </c>
      <c r="T65" s="7" t="n">
        <f aca="false">Q65/R65</f>
        <v>37.1428571428571</v>
      </c>
      <c r="U65" s="7" t="n">
        <f aca="false">Q65/S65</f>
        <v>65</v>
      </c>
      <c r="V65" s="7" t="n">
        <f aca="false">IF(D65="cone",G65*L65/N65,IF(D65="orbit",G65*L65*M65/(2*PI()),IF(D65="boomerang",G65*2/N65,IF(D65="projectile",G65*L65/N65,IF(D65="trail",G65*Assumptions!$B$9/0.5,G65/N65)))))</f>
        <v>72.2222222222222</v>
      </c>
      <c r="W65" s="10" t="n">
        <f aca="false">IF(V65=0,"",T65/V65)</f>
        <v>0.514285714285714</v>
      </c>
      <c r="X65" s="10" t="n">
        <f aca="false">R65/N65</f>
        <v>1.94444444444444</v>
      </c>
      <c r="Y65" s="6" t="str">
        <f aca="false">IF(D65="aura",IF(R65&gt;Assumptions!$B$11,"ticks needed","pulse ok"),"")</f>
        <v/>
      </c>
      <c r="Z65" s="6"/>
    </row>
  </sheetData>
  <autoFilter ref="A1:Z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9" min="7" style="0" width="12"/>
  </cols>
  <sheetData>
    <row r="1" customFormat="false" ht="23.85" hidden="false" customHeight="false" outlineLevel="0" collapsed="false">
      <c r="A1" s="11" t="s">
        <v>28</v>
      </c>
      <c r="B1" s="11" t="s">
        <v>29</v>
      </c>
      <c r="C1" s="11" t="s">
        <v>233</v>
      </c>
      <c r="D1" s="11" t="s">
        <v>234</v>
      </c>
      <c r="E1" s="11" t="s">
        <v>235</v>
      </c>
      <c r="F1" s="11" t="s">
        <v>236</v>
      </c>
      <c r="G1" s="11" t="s">
        <v>237</v>
      </c>
      <c r="H1" s="11" t="s">
        <v>238</v>
      </c>
      <c r="I1" s="11" t="s">
        <v>239</v>
      </c>
    </row>
    <row r="2" customFormat="false" ht="15" hidden="false" customHeight="false" outlineLevel="0" collapsed="false">
      <c r="A2" s="6" t="s">
        <v>53</v>
      </c>
      <c r="B2" s="6" t="s">
        <v>54</v>
      </c>
      <c r="C2" s="6" t="n">
        <f aca="false">COUNTIF(Moves!$D$2:$D$65,A2)</f>
        <v>9</v>
      </c>
      <c r="D2" s="6" t="n">
        <f aca="false">COUNTIFS(Moves!$D$2:$D$65,A2,Moves!$G$2:$G$65,"&gt;0")</f>
        <v>9</v>
      </c>
      <c r="E2" s="10" t="n">
        <f aca="false">AVERAGEIF(Moves!$D$2:$D$65,A2,Moves!$R$2:$R$65)</f>
        <v>0.691666666666667</v>
      </c>
      <c r="F2" s="7" t="n">
        <f aca="false">IF(D2=0,"",AVERAGEIFS(Moves!$T$2:$T$65,Moves!$D$2:$D$65,A2,Moves!$G$2:$G$65,"&gt;0"))</f>
        <v>78.8095238095238</v>
      </c>
      <c r="G2" s="10" t="n">
        <f aca="false">IF(D2=0,"",AVERAGEIFS(Moves!$W$2:$W$65,Moves!$D$2:$D$65,A2,Moves!$G$2:$G$65,"&gt;0"))</f>
        <v>0.823333333333333</v>
      </c>
      <c r="H2" s="10" t="n">
        <f aca="false">IF(D2=0,"",_xlfn.MINIFS(Moves!$W$2:$W$65,Moves!$D$2:$D$65,A2,Moves!$G$2:$G$65,"&gt;0"))</f>
        <v>0.48</v>
      </c>
      <c r="I2" s="10" t="n">
        <f aca="false">IF(D2=0,"",_xlfn.MAXIFS(Moves!$W$2:$W$65,Moves!$D$2:$D$65,A2,Moves!$G$2:$G$65,"&gt;0"))</f>
        <v>1.1</v>
      </c>
    </row>
    <row r="3" customFormat="false" ht="15" hidden="false" customHeight="false" outlineLevel="0" collapsed="false">
      <c r="A3" s="6" t="s">
        <v>58</v>
      </c>
      <c r="B3" s="6" t="s">
        <v>59</v>
      </c>
      <c r="C3" s="6" t="n">
        <f aca="false">COUNTIF(Moves!$D$2:$D$65,A3)</f>
        <v>2</v>
      </c>
      <c r="D3" s="6" t="n">
        <f aca="false">COUNTIFS(Moves!$D$2:$D$65,A3,Moves!$G$2:$G$65,"&gt;0")</f>
        <v>2</v>
      </c>
      <c r="E3" s="10" t="n">
        <f aca="false">AVERAGEIF(Moves!$D$2:$D$65,A3,Moves!$R$2:$R$65)</f>
        <v>0.729166666666667</v>
      </c>
      <c r="F3" s="7" t="n">
        <f aca="false">IF(D3=0,"",AVERAGEIFS(Moves!$T$2:$T$65,Moves!$D$2:$D$65,A3,Moves!$G$2:$G$65,"&gt;0"))</f>
        <v>68.5714285714286</v>
      </c>
      <c r="G3" s="10" t="n">
        <f aca="false">IF(D3=0,"",AVERAGEIFS(Moves!$W$2:$W$65,Moves!$D$2:$D$65,A3,Moves!$G$2:$G$65,"&gt;0"))</f>
        <v>1.07142857142857</v>
      </c>
      <c r="H3" s="10" t="n">
        <f aca="false">IF(D3=0,"",_xlfn.MINIFS(Moves!$W$2:$W$65,Moves!$D$2:$D$65,A3,Moves!$G$2:$G$65,"&gt;0"))</f>
        <v>0.857142857142857</v>
      </c>
      <c r="I3" s="10" t="n">
        <f aca="false">IF(D3=0,"",_xlfn.MAXIFS(Moves!$W$2:$W$65,Moves!$D$2:$D$65,A3,Moves!$G$2:$G$65,"&gt;0"))</f>
        <v>1.28571428571429</v>
      </c>
    </row>
    <row r="4" customFormat="false" ht="15" hidden="false" customHeight="false" outlineLevel="0" collapsed="false">
      <c r="A4" s="6" t="s">
        <v>73</v>
      </c>
      <c r="B4" s="6" t="s">
        <v>74</v>
      </c>
      <c r="C4" s="6" t="n">
        <f aca="false">COUNTIF(Moves!$D$2:$D$65,A4)</f>
        <v>9</v>
      </c>
      <c r="D4" s="6" t="n">
        <f aca="false">COUNTIFS(Moves!$D$2:$D$65,A4,Moves!$G$2:$G$65,"&gt;0")</f>
        <v>9</v>
      </c>
      <c r="E4" s="10" t="n">
        <f aca="false">AVERAGEIF(Moves!$D$2:$D$65,A4,Moves!$R$2:$R$65)</f>
        <v>0.807407407407407</v>
      </c>
      <c r="F4" s="7" t="n">
        <f aca="false">IF(D4=0,"",AVERAGEIFS(Moves!$T$2:$T$65,Moves!$D$2:$D$65,A4,Moves!$G$2:$G$65,"&gt;0"))</f>
        <v>61.9047619047619</v>
      </c>
      <c r="G4" s="10" t="n">
        <f aca="false">IF(D4=0,"",AVERAGEIFS(Moves!$W$2:$W$65,Moves!$D$2:$D$65,A4,Moves!$G$2:$G$65,"&gt;0"))</f>
        <v>0.673968253968254</v>
      </c>
      <c r="H4" s="10" t="n">
        <f aca="false">IF(D4=0,"",_xlfn.MINIFS(Moves!$W$2:$W$65,Moves!$D$2:$D$65,A4,Moves!$G$2:$G$65,"&gt;0"))</f>
        <v>0.54</v>
      </c>
      <c r="I4" s="10" t="n">
        <f aca="false">IF(D4=0,"",_xlfn.MAXIFS(Moves!$W$2:$W$65,Moves!$D$2:$D$65,A4,Moves!$G$2:$G$65,"&gt;0"))</f>
        <v>0.828571428571429</v>
      </c>
    </row>
    <row r="5" customFormat="false" ht="15" hidden="false" customHeight="false" outlineLevel="0" collapsed="false">
      <c r="A5" s="6" t="s">
        <v>78</v>
      </c>
      <c r="B5" s="6" t="s">
        <v>79</v>
      </c>
      <c r="C5" s="6" t="n">
        <f aca="false">COUNTIF(Moves!$D$2:$D$65,A5)</f>
        <v>2</v>
      </c>
      <c r="D5" s="6" t="n">
        <f aca="false">COUNTIFS(Moves!$D$2:$D$65,A5,Moves!$G$2:$G$65,"&gt;0")</f>
        <v>2</v>
      </c>
      <c r="E5" s="10" t="n">
        <f aca="false">AVERAGEIF(Moves!$D$2:$D$65,A5,Moves!$R$2:$R$65)</f>
        <v>1.02083333333333</v>
      </c>
      <c r="F5" s="7" t="n">
        <f aca="false">IF(D5=0,"",AVERAGEIFS(Moves!$T$2:$T$65,Moves!$D$2:$D$65,A5,Moves!$G$2:$G$65,"&gt;0"))</f>
        <v>75.7142857142857</v>
      </c>
      <c r="G5" s="10" t="n">
        <f aca="false">IF(D5=0,"",AVERAGEIFS(Moves!$W$2:$W$65,Moves!$D$2:$D$65,A5,Moves!$G$2:$G$65,"&gt;0"))</f>
        <v>0.0959183673469388</v>
      </c>
      <c r="H5" s="10" t="n">
        <f aca="false">IF(D5=0,"",_xlfn.MINIFS(Moves!$W$2:$W$65,Moves!$D$2:$D$65,A5,Moves!$G$2:$G$65,"&gt;0"))</f>
        <v>0.0857142857142857</v>
      </c>
      <c r="I5" s="10" t="n">
        <f aca="false">IF(D5=0,"",_xlfn.MAXIFS(Moves!$W$2:$W$65,Moves!$D$2:$D$65,A5,Moves!$G$2:$G$65,"&gt;0"))</f>
        <v>0.106122448979592</v>
      </c>
    </row>
    <row r="6" customFormat="false" ht="15" hidden="false" customHeight="false" outlineLevel="0" collapsed="false">
      <c r="A6" s="6" t="s">
        <v>82</v>
      </c>
      <c r="B6" s="6" t="s">
        <v>83</v>
      </c>
      <c r="C6" s="6" t="n">
        <f aca="false">COUNTIF(Moves!$D$2:$D$65,A6)</f>
        <v>3</v>
      </c>
      <c r="D6" s="6" t="n">
        <f aca="false">COUNTIFS(Moves!$D$2:$D$65,A6,Moves!$G$2:$G$65,"&gt;0")</f>
        <v>3</v>
      </c>
      <c r="E6" s="10" t="n">
        <f aca="false">AVERAGEIF(Moves!$D$2:$D$65,A6,Moves!$R$2:$R$65)</f>
        <v>1.72222222222222</v>
      </c>
      <c r="F6" s="7" t="n">
        <f aca="false">IF(D6=0,"",AVERAGEIFS(Moves!$T$2:$T$65,Moves!$D$2:$D$65,A6,Moves!$G$2:$G$65,"&gt;0"))</f>
        <v>46.3095238095238</v>
      </c>
      <c r="G6" s="10" t="n">
        <f aca="false">IF(D6=0,"",AVERAGEIFS(Moves!$W$2:$W$65,Moves!$D$2:$D$65,A6,Moves!$G$2:$G$65,"&gt;0"))</f>
        <v>0.762382832601919</v>
      </c>
      <c r="H6" s="10" t="n">
        <f aca="false">IF(D6=0,"",_xlfn.MINIFS(Moves!$W$2:$W$65,Moves!$D$2:$D$65,A6,Moves!$G$2:$G$65,"&gt;0"))</f>
        <v>0.155353482869825</v>
      </c>
      <c r="I6" s="10" t="n">
        <f aca="false">IF(D6=0,"",_xlfn.MAXIFS(Moves!$W$2:$W$65,Moves!$D$2:$D$65,A6,Moves!$G$2:$G$65,"&gt;0"))</f>
        <v>1.49599650170943</v>
      </c>
    </row>
    <row r="7" customFormat="false" ht="15" hidden="false" customHeight="false" outlineLevel="0" collapsed="false">
      <c r="A7" s="6" t="s">
        <v>86</v>
      </c>
      <c r="B7" s="6" t="s">
        <v>87</v>
      </c>
      <c r="C7" s="6" t="n">
        <f aca="false">COUNTIF(Moves!$D$2:$D$65,A7)</f>
        <v>7</v>
      </c>
      <c r="D7" s="6" t="n">
        <f aca="false">COUNTIFS(Moves!$D$2:$D$65,A7,Moves!$G$2:$G$65,"&gt;0")</f>
        <v>7</v>
      </c>
      <c r="E7" s="10" t="n">
        <f aca="false">AVERAGEIF(Moves!$D$2:$D$65,A7,Moves!$R$2:$R$65)</f>
        <v>1.25</v>
      </c>
      <c r="F7" s="7" t="n">
        <f aca="false">IF(D7=0,"",AVERAGEIFS(Moves!$T$2:$T$65,Moves!$D$2:$D$65,A7,Moves!$G$2:$G$65,"&gt;0"))</f>
        <v>57.4591836734694</v>
      </c>
      <c r="G7" s="10" t="n">
        <f aca="false">IF(D7=0,"",AVERAGEIFS(Moves!$W$2:$W$65,Moves!$D$2:$D$65,A7,Moves!$G$2:$G$65,"&gt;0"))</f>
        <v>1.05448979591837</v>
      </c>
      <c r="H7" s="10" t="n">
        <f aca="false">IF(D7=0,"",_xlfn.MINIFS(Moves!$W$2:$W$65,Moves!$D$2:$D$65,A7,Moves!$G$2:$G$65,"&gt;0"))</f>
        <v>0.642857142857143</v>
      </c>
      <c r="I7" s="10" t="n">
        <f aca="false">IF(D7=0,"",_xlfn.MAXIFS(Moves!$W$2:$W$65,Moves!$D$2:$D$65,A7,Moves!$G$2:$G$65,"&gt;0"))</f>
        <v>1.71428571428571</v>
      </c>
    </row>
    <row r="8" customFormat="false" ht="15" hidden="false" customHeight="false" outlineLevel="0" collapsed="false">
      <c r="A8" s="6" t="s">
        <v>95</v>
      </c>
      <c r="B8" s="6" t="s">
        <v>96</v>
      </c>
      <c r="C8" s="6" t="n">
        <f aca="false">COUNTIF(Moves!$D$2:$D$65,A8)</f>
        <v>5</v>
      </c>
      <c r="D8" s="6" t="n">
        <f aca="false">COUNTIFS(Moves!$D$2:$D$65,A8,Moves!$G$2:$G$65,"&gt;0")</f>
        <v>4</v>
      </c>
      <c r="E8" s="10" t="n">
        <f aca="false">AVERAGEIF(Moves!$D$2:$D$65,A8,Moves!$R$2:$R$65)</f>
        <v>1.925</v>
      </c>
      <c r="F8" s="7" t="n">
        <f aca="false">IF(D8=0,"",AVERAGEIFS(Moves!$T$2:$T$65,Moves!$D$2:$D$65,A8,Moves!$G$2:$G$65,"&gt;0"))</f>
        <v>49.1428571428571</v>
      </c>
      <c r="G8" s="10" t="n">
        <f aca="false">IF(D8=0,"",AVERAGEIFS(Moves!$W$2:$W$65,Moves!$D$2:$D$65,A8,Moves!$G$2:$G$65,"&gt;0"))</f>
        <v>0.721428571428571</v>
      </c>
      <c r="H8" s="10" t="n">
        <f aca="false">IF(D8=0,"",_xlfn.MINIFS(Moves!$W$2:$W$65,Moves!$D$2:$D$65,A8,Moves!$G$2:$G$65,"&gt;0"))</f>
        <v>0.342857142857143</v>
      </c>
      <c r="I8" s="10" t="n">
        <f aca="false">IF(D8=0,"",_xlfn.MAXIFS(Moves!$W$2:$W$65,Moves!$D$2:$D$65,A8,Moves!$G$2:$G$65,"&gt;0"))</f>
        <v>1.31428571428571</v>
      </c>
    </row>
    <row r="9" customFormat="false" ht="15" hidden="false" customHeight="false" outlineLevel="0" collapsed="false">
      <c r="A9" s="6" t="s">
        <v>104</v>
      </c>
      <c r="B9" s="6" t="s">
        <v>105</v>
      </c>
      <c r="C9" s="6" t="n">
        <f aca="false">COUNTIF(Moves!$D$2:$D$65,A9)</f>
        <v>3</v>
      </c>
      <c r="D9" s="6" t="n">
        <f aca="false">COUNTIFS(Moves!$D$2:$D$65,A9,Moves!$G$2:$G$65,"&gt;0")</f>
        <v>3</v>
      </c>
      <c r="E9" s="10" t="n">
        <f aca="false">AVERAGEIF(Moves!$D$2:$D$65,A9,Moves!$R$2:$R$65)</f>
        <v>1.10833333333333</v>
      </c>
      <c r="F9" s="7" t="n">
        <f aca="false">IF(D9=0,"",AVERAGEIFS(Moves!$T$2:$T$65,Moves!$D$2:$D$65,A9,Moves!$G$2:$G$65,"&gt;0"))</f>
        <v>68.6904761904762</v>
      </c>
      <c r="G9" s="10" t="n">
        <f aca="false">IF(D9=0,"",AVERAGEIFS(Moves!$W$2:$W$65,Moves!$D$2:$D$65,A9,Moves!$G$2:$G$65,"&gt;0"))</f>
        <v>0.518809523809524</v>
      </c>
      <c r="H9" s="10" t="n">
        <f aca="false">IF(D9=0,"",_xlfn.MINIFS(Moves!$W$2:$W$65,Moves!$D$2:$D$65,A9,Moves!$G$2:$G$65,"&gt;0"))</f>
        <v>0.457142857142857</v>
      </c>
      <c r="I9" s="10" t="n">
        <f aca="false">IF(D9=0,"",_xlfn.MAXIFS(Moves!$W$2:$W$65,Moves!$D$2:$D$65,A9,Moves!$G$2:$G$65,"&gt;0"))</f>
        <v>0.610714285714286</v>
      </c>
    </row>
    <row r="10" customFormat="false" ht="15" hidden="false" customHeight="false" outlineLevel="0" collapsed="false">
      <c r="A10" s="6" t="s">
        <v>111</v>
      </c>
      <c r="B10" s="6" t="s">
        <v>112</v>
      </c>
      <c r="C10" s="6" t="n">
        <f aca="false">COUNTIF(Moves!$D$2:$D$65,A10)</f>
        <v>7</v>
      </c>
      <c r="D10" s="6" t="n">
        <f aca="false">COUNTIFS(Moves!$D$2:$D$65,A10,Moves!$G$2:$G$65,"&gt;0")</f>
        <v>6</v>
      </c>
      <c r="E10" s="10" t="n">
        <f aca="false">AVERAGEIF(Moves!$D$2:$D$65,A10,Moves!$R$2:$R$65)</f>
        <v>1.30833333333333</v>
      </c>
      <c r="F10" s="7" t="n">
        <f aca="false">IF(D10=0,"",AVERAGEIFS(Moves!$T$2:$T$65,Moves!$D$2:$D$65,A10,Moves!$G$2:$G$65,"&gt;0"))</f>
        <v>55.7142857142857</v>
      </c>
      <c r="G10" s="10" t="n">
        <f aca="false">IF(D10=0,"",AVERAGEIFS(Moves!$W$2:$W$65,Moves!$D$2:$D$65,A10,Moves!$G$2:$G$65,"&gt;0"))</f>
        <v>0.471428571428572</v>
      </c>
      <c r="H10" s="10" t="n">
        <f aca="false">IF(D10=0,"",_xlfn.MINIFS(Moves!$W$2:$W$65,Moves!$D$2:$D$65,A10,Moves!$G$2:$G$65,"&gt;0"))</f>
        <v>0.257142857142857</v>
      </c>
      <c r="I10" s="10" t="n">
        <f aca="false">IF(D10=0,"",_xlfn.MAXIFS(Moves!$W$2:$W$65,Moves!$D$2:$D$65,A10,Moves!$G$2:$G$65,"&gt;0"))</f>
        <v>0.8</v>
      </c>
    </row>
    <row r="11" customFormat="false" ht="15" hidden="false" customHeight="false" outlineLevel="0" collapsed="false">
      <c r="A11" s="6" t="s">
        <v>120</v>
      </c>
      <c r="B11" s="6" t="s">
        <v>121</v>
      </c>
      <c r="C11" s="6" t="n">
        <f aca="false">COUNTIF(Moves!$D$2:$D$65,A11)</f>
        <v>2</v>
      </c>
      <c r="D11" s="6" t="n">
        <f aca="false">COUNTIFS(Moves!$D$2:$D$65,A11,Moves!$G$2:$G$65,"&gt;0")</f>
        <v>2</v>
      </c>
      <c r="E11" s="10" t="n">
        <f aca="false">AVERAGEIF(Moves!$D$2:$D$65,A11,Moves!$R$2:$R$65)</f>
        <v>1.45833333333333</v>
      </c>
      <c r="F11" s="7" t="n">
        <f aca="false">IF(D11=0,"",AVERAGEIFS(Moves!$T$2:$T$65,Moves!$D$2:$D$65,A11,Moves!$G$2:$G$65,"&gt;0"))</f>
        <v>57.1428571428571</v>
      </c>
      <c r="G11" s="10" t="n">
        <f aca="false">IF(D11=0,"",AVERAGEIFS(Moves!$W$2:$W$65,Moves!$D$2:$D$65,A11,Moves!$G$2:$G$65,"&gt;0"))</f>
        <v>0.664285714285714</v>
      </c>
      <c r="H11" s="10" t="n">
        <f aca="false">IF(D11=0,"",_xlfn.MINIFS(Moves!$W$2:$W$65,Moves!$D$2:$D$65,A11,Moves!$G$2:$G$65,"&gt;0"))</f>
        <v>0.514285714285714</v>
      </c>
      <c r="I11" s="10" t="n">
        <f aca="false">IF(D11=0,"",_xlfn.MAXIFS(Moves!$W$2:$W$65,Moves!$D$2:$D$65,A11,Moves!$G$2:$G$65,"&gt;0"))</f>
        <v>0.814285714285714</v>
      </c>
    </row>
    <row r="12" customFormat="false" ht="15" hidden="false" customHeight="false" outlineLevel="0" collapsed="false">
      <c r="A12" s="6" t="s">
        <v>157</v>
      </c>
      <c r="B12" s="6" t="s">
        <v>158</v>
      </c>
      <c r="C12" s="6" t="n">
        <f aca="false">COUNTIF(Moves!$D$2:$D$65,A12)</f>
        <v>3</v>
      </c>
      <c r="D12" s="6" t="n">
        <f aca="false">COUNTIFS(Moves!$D$2:$D$65,A12,Moves!$G$2:$G$65,"&gt;0")</f>
        <v>0</v>
      </c>
      <c r="E12" s="10" t="n">
        <f aca="false">AVERAGEIF(Moves!$D$2:$D$65,A12,Moves!$R$2:$R$65)</f>
        <v>0.729166666666667</v>
      </c>
      <c r="F12" s="7" t="str">
        <f aca="false">IF(D12=0,"",AVERAGEIFS(Moves!$T$2:$T$65,Moves!$D$2:$D$65,A12,Moves!$G$2:$G$65,"&gt;0"))</f>
        <v/>
      </c>
      <c r="G12" s="10" t="str">
        <f aca="false">IF(D12=0,"",AVERAGEIFS(Moves!$W$2:$W$65,Moves!$D$2:$D$65,A12,Moves!$G$2:$G$65,"&gt;0"))</f>
        <v/>
      </c>
      <c r="H12" s="10" t="str">
        <f aca="false">IF(D12=0,"",_xlfn.MINIFS(Moves!$W$2:$W$65,Moves!$D$2:$D$65,A12,Moves!$G$2:$G$65,"&gt;0"))</f>
        <v/>
      </c>
      <c r="I12" s="10" t="str">
        <f aca="false">IF(D12=0,"",_xlfn.MAXIFS(Moves!$W$2:$W$65,Moves!$D$2:$D$65,A12,Moves!$G$2:$G$65,"&gt;0"))</f>
        <v/>
      </c>
    </row>
    <row r="13" customFormat="false" ht="15" hidden="false" customHeight="false" outlineLevel="0" collapsed="false">
      <c r="A13" s="6" t="s">
        <v>167</v>
      </c>
      <c r="B13" s="6" t="s">
        <v>168</v>
      </c>
      <c r="C13" s="6" t="n">
        <f aca="false">COUNTIF(Moves!$D$2:$D$65,A13)</f>
        <v>3</v>
      </c>
      <c r="D13" s="6" t="n">
        <f aca="false">COUNTIFS(Moves!$D$2:$D$65,A13,Moves!$G$2:$G$65,"&gt;0")</f>
        <v>2</v>
      </c>
      <c r="E13" s="10" t="n">
        <f aca="false">AVERAGEIF(Moves!$D$2:$D$65,A13,Moves!$R$2:$R$65)</f>
        <v>1.75</v>
      </c>
      <c r="F13" s="7" t="n">
        <f aca="false">IF(D13=0,"",AVERAGEIFS(Moves!$T$2:$T$65,Moves!$D$2:$D$65,A13,Moves!$G$2:$G$65,"&gt;0"))</f>
        <v>42.4285714285714</v>
      </c>
      <c r="G13" s="10" t="n">
        <f aca="false">IF(D13=0,"",AVERAGEIFS(Moves!$W$2:$W$65,Moves!$D$2:$D$65,A13,Moves!$G$2:$G$65,"&gt;0"))</f>
        <v>0.694285714285714</v>
      </c>
      <c r="H13" s="10" t="n">
        <f aca="false">IF(D13=0,"",_xlfn.MINIFS(Moves!$W$2:$W$65,Moves!$D$2:$D$65,A13,Moves!$G$2:$G$65,"&gt;0"))</f>
        <v>0.668571428571429</v>
      </c>
      <c r="I13" s="10" t="n">
        <f aca="false">IF(D13=0,"",_xlfn.MAXIFS(Moves!$W$2:$W$65,Moves!$D$2:$D$65,A13,Moves!$G$2:$G$65,"&gt;0"))</f>
        <v>0.72</v>
      </c>
    </row>
    <row r="14" customFormat="false" ht="15" hidden="false" customHeight="false" outlineLevel="0" collapsed="false">
      <c r="A14" s="6" t="s">
        <v>221</v>
      </c>
      <c r="B14" s="6" t="s">
        <v>222</v>
      </c>
      <c r="C14" s="6" t="n">
        <f aca="false">COUNTIF(Moves!$D$2:$D$65,A14)</f>
        <v>2</v>
      </c>
      <c r="D14" s="6" t="n">
        <f aca="false">COUNTIFS(Moves!$D$2:$D$65,A14,Moves!$G$2:$G$65,"&gt;0")</f>
        <v>0</v>
      </c>
      <c r="E14" s="10" t="n">
        <f aca="false">AVERAGEIF(Moves!$D$2:$D$65,A14,Moves!$R$2:$R$65)</f>
        <v>1.45833333333333</v>
      </c>
      <c r="F14" s="7" t="str">
        <f aca="false">IF(D14=0,"",AVERAGEIFS(Moves!$T$2:$T$65,Moves!$D$2:$D$65,A14,Moves!$G$2:$G$65,"&gt;0"))</f>
        <v/>
      </c>
      <c r="G14" s="10" t="str">
        <f aca="false">IF(D14=0,"",AVERAGEIFS(Moves!$W$2:$W$65,Moves!$D$2:$D$65,A14,Moves!$G$2:$G$65,"&gt;0"))</f>
        <v/>
      </c>
      <c r="H14" s="10" t="str">
        <f aca="false">IF(D14=0,"",_xlfn.MINIFS(Moves!$W$2:$W$65,Moves!$D$2:$D$65,A14,Moves!$G$2:$G$65,"&gt;0"))</f>
        <v/>
      </c>
      <c r="I14" s="10" t="str">
        <f aca="false">IF(D14=0,"",_xlfn.MAXIFS(Moves!$W$2:$W$65,Moves!$D$2:$D$65,A14,Moves!$G$2:$G$65,"&gt;0"))</f>
        <v/>
      </c>
    </row>
    <row r="15" customFormat="false" ht="15" hidden="false" customHeight="false" outlineLevel="0" collapsed="false">
      <c r="A15" s="6" t="s">
        <v>147</v>
      </c>
      <c r="B15" s="6" t="s">
        <v>148</v>
      </c>
      <c r="C15" s="6" t="n">
        <f aca="false">COUNTIF(Moves!$D$2:$D$65,A15)</f>
        <v>2</v>
      </c>
      <c r="D15" s="6" t="n">
        <f aca="false">COUNTIFS(Moves!$D$2:$D$65,A15,Moves!$G$2:$G$65,"&gt;0")</f>
        <v>1</v>
      </c>
      <c r="E15" s="10" t="n">
        <f aca="false">AVERAGEIF(Moves!$D$2:$D$65,A15,Moves!$R$2:$R$65)</f>
        <v>1.225</v>
      </c>
      <c r="F15" s="7" t="n">
        <f aca="false">IF(D15=0,"",AVERAGEIFS(Moves!$T$2:$T$65,Moves!$D$2:$D$65,A15,Moves!$G$2:$G$65,"&gt;0"))</f>
        <v>85.7142857142857</v>
      </c>
      <c r="G15" s="10" t="n">
        <f aca="false">IF(D15=0,"",AVERAGEIFS(Moves!$W$2:$W$65,Moves!$D$2:$D$65,A15,Moves!$G$2:$G$65,"&gt;0"))</f>
        <v>0.357142857142857</v>
      </c>
      <c r="H15" s="10" t="n">
        <f aca="false">IF(D15=0,"",_xlfn.MINIFS(Moves!$W$2:$W$65,Moves!$D$2:$D$65,A15,Moves!$G$2:$G$65,"&gt;0"))</f>
        <v>0.357142857142857</v>
      </c>
      <c r="I15" s="10" t="n">
        <f aca="false">IF(D15=0,"",_xlfn.MAXIFS(Moves!$W$2:$W$65,Moves!$D$2:$D$65,A15,Moves!$G$2:$G$65,"&gt;0"))</f>
        <v>0.357142857142857</v>
      </c>
    </row>
    <row r="16" customFormat="false" ht="15" hidden="false" customHeight="false" outlineLevel="0" collapsed="false">
      <c r="A16" s="6" t="s">
        <v>62</v>
      </c>
      <c r="B16" s="6" t="s">
        <v>63</v>
      </c>
      <c r="C16" s="6" t="n">
        <f aca="false">COUNTIF(Moves!$D$2:$D$65,A16)</f>
        <v>5</v>
      </c>
      <c r="D16" s="6" t="n">
        <f aca="false">COUNTIFS(Moves!$D$2:$D$65,A16,Moves!$G$2:$G$65,"&gt;0")</f>
        <v>0</v>
      </c>
      <c r="E16" s="10" t="n">
        <f aca="false">AVERAGEIF(Moves!$D$2:$D$65,A16,Moves!$R$2:$R$65)</f>
        <v>0.758333333333333</v>
      </c>
      <c r="F16" s="7" t="str">
        <f aca="false">IF(D16=0,"",AVERAGEIFS(Moves!$T$2:$T$65,Moves!$D$2:$D$65,A16,Moves!$G$2:$G$65,"&gt;0"))</f>
        <v/>
      </c>
      <c r="G16" s="10" t="str">
        <f aca="false">IF(D16=0,"",AVERAGEIFS(Moves!$W$2:$W$65,Moves!$D$2:$D$65,A16,Moves!$G$2:$G$65,"&gt;0"))</f>
        <v/>
      </c>
      <c r="H16" s="10" t="str">
        <f aca="false">IF(D16=0,"",_xlfn.MINIFS(Moves!$W$2:$W$65,Moves!$D$2:$D$65,A16,Moves!$G$2:$G$65,"&gt;0"))</f>
        <v/>
      </c>
      <c r="I16" s="10" t="str">
        <f aca="false">IF(D16=0,"",_xlfn.MAXIFS(Moves!$W$2:$W$65,Moves!$D$2:$D$65,A16,Moves!$G$2:$G$65,"&gt;0"))</f>
        <v/>
      </c>
    </row>
    <row r="18" customFormat="false" ht="15" hidden="false" customHeight="false" outlineLevel="0" collapsed="false">
      <c r="A18" s="6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2" t="s">
        <v>241</v>
      </c>
    </row>
    <row r="2" customFormat="false" ht="23.85" hidden="false" customHeight="false" outlineLevel="0" collapsed="false">
      <c r="A2" s="5" t="s">
        <v>242</v>
      </c>
    </row>
    <row r="3" customFormat="false" ht="15" hidden="false" customHeight="false" outlineLevel="0" collapsed="false">
      <c r="A3" s="5" t="s">
        <v>243</v>
      </c>
    </row>
    <row r="4" customFormat="false" ht="15" hidden="false" customHeight="false" outlineLevel="0" collapsed="false">
      <c r="A4" s="5" t="s">
        <v>244</v>
      </c>
    </row>
    <row r="5" customFormat="false" ht="23.85" hidden="false" customHeight="false" outlineLevel="0" collapsed="false">
      <c r="A5" s="5" t="s">
        <v>245</v>
      </c>
    </row>
    <row r="6" customFormat="false" ht="23.85" hidden="false" customHeight="false" outlineLevel="0" collapsed="false">
      <c r="A6" s="5" t="s">
        <v>246</v>
      </c>
    </row>
    <row r="7" customFormat="false" ht="15" hidden="false" customHeight="false" outlineLevel="0" collapsed="false">
      <c r="A7" s="5" t="s">
        <v>247</v>
      </c>
    </row>
    <row r="8" customFormat="false" ht="15" hidden="false" customHeight="false" outlineLevel="0" collapsed="false">
      <c r="A8" s="5" t="s">
        <v>248</v>
      </c>
    </row>
    <row r="9" customFormat="false" ht="15" hidden="false" customHeight="false" outlineLevel="0" collapsed="false">
      <c r="A9" s="5" t="s">
        <v>249</v>
      </c>
    </row>
    <row r="10" customFormat="false" ht="23.85" hidden="false" customHeight="false" outlineLevel="0" collapsed="false">
      <c r="A10" s="5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2026-10-18T15:57:39Z</dcterms:created>
  <dc:creator>openpyxl</dc:creator>
  <dc:description/>
  <dc:language>en-US</dc:language>
  <cp:lastModifiedBy/>
  <dcterms:modified xsi:type="dcterms:W3CDTF">2026-10-18T15:57:39Z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
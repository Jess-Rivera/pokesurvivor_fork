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inds" sheetId="1" state="visible" r:id="rId3"/>
    <sheet name="Axes" sheetId="2" state="visible" r:id="rId4"/>
    <sheet name="Gaps" sheetId="3" state="visible" r:id="rId5"/>
    <sheet name="Axis values" sheetId="4" state="visible" r:id="rId6"/>
    <sheet name="Field mapping" sheetId="5" state="visible" r:id="rId7"/>
    <sheet name="Notes" sheetId="6" state="visible" r:id="rId8"/>
  </sheets>
  <definedNames>
    <definedName function="false" hidden="true" localSheetId="1" name="_xlnm._FilterDatabase" vbProcedure="false">Axes!$A$1:$J$20</definedName>
    <definedName function="false" hidden="true" localSheetId="4" name="_xlnm._FilterDatabase" vbProcedure="false">'Field mapping'!$A$1:$D$18</definedName>
    <definedName function="false" hidden="true" localSheetId="0" name="_xlnm._FilterDatabase" vbProcedure="false">Kinds!$A$1:$H$20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<sst xmlns="http://schemas.openxmlformats.org/spreadsheetml/2006/main" count="502" uniqueCount="275">
  <si>
    <t xml:space="preserve">Eval order</t>
  </si>
  <si>
    <t xml:space="preserve">Kind</t>
  </si>
  <si>
    <t xml:space="preserve">Status</t>
  </si>
  <si>
    <t xml:space="preserve">Mainline trigger (first match wins)</t>
  </si>
  <si>
    <t xml:space="preserve">In-game behavior</t>
  </si>
  <si>
    <t xml:space="preserve">Damage?</t>
  </si>
  <si>
    <t xml:space="preserve">Mainline examples</t>
  </si>
  <si>
    <t xml:space="preserve">Allowed flags</t>
  </si>
  <si>
    <t xml:space="preserve">Buff</t>
  </si>
  <si>
    <t xml:space="preserve">Existing</t>
  </si>
  <si>
    <t xml:space="preserve">Status move, target self, raises a stat stage</t>
  </si>
  <si>
    <t xml:space="preserve">Stacks a stat while active; no damage. Stat engine, never an opener.</t>
  </si>
  <si>
    <t xml:space="preserve">No</t>
  </si>
  <si>
    <t xml:space="preserve">Swords Dance, Agility, Harden, Dragon Dance, Calm Mind, Bulk Up</t>
  </si>
  <si>
    <t xml:space="preserve">duration, stack cap</t>
  </si>
  <si>
    <t xml:space="preserve">Mend</t>
  </si>
  <si>
    <t xml:space="preserve">NEW</t>
  </si>
  <si>
    <t xml:space="preserve">Status move, target self/ally, restores HP (or regen effect)</t>
  </si>
  <si>
    <t xml:space="preserve">Burst heal or timed regen scaled to max HP. Cooldown-gated so it cannot be spammed.</t>
  </si>
  <si>
    <t xml:space="preserve">Recover, Roost, Soft-Boiled, Synthesis, Aqua Ring, Wish</t>
  </si>
  <si>
    <t xml:space="preserve">instant vs regen, also-cures-status</t>
  </si>
  <si>
    <t xml:space="preserve">Ward</t>
  </si>
  <si>
    <t xml:space="preserve">Status move, protects user/side (Protect family, screens, Endure)</t>
  </si>
  <si>
    <t xml:space="preserve">Short invulnerability window or damage-reduction shield; screens become a timed % reduction.</t>
  </si>
  <si>
    <t xml:space="preserve">Protect, Detect, Endure, Reflect, Light Screen, Safeguard, Mist</t>
  </si>
  <si>
    <t xml:space="preserve">invuln vs reduction, reflect-contact</t>
  </si>
  <si>
    <t xml:space="preserve">Control</t>
  </si>
  <si>
    <t xml:space="preserve">Status move, target foe(s), lowers stat or inflicts status</t>
  </si>
  <si>
    <t xml:space="preserve">Debuff or crowd-control pulse on nearby enemies: slow, sleep, stun, weaken, confuse.</t>
  </si>
  <si>
    <t xml:space="preserve">Screech, Growl, Sleep Powder, Thunder Wave, Confuse Ray, Whirlwind, Taunt</t>
  </si>
  <si>
    <t xml:space="preserve">status type, radius, duration</t>
  </si>
  <si>
    <t xml:space="preserve">Field</t>
  </si>
  <si>
    <t xml:space="preserve">Status move, target field/side/weather/terrain/room</t>
  </si>
  <si>
    <t xml:space="preserve">Persistent zone or weather that changes rules (not damage). Replaces the fake 'terrain' evolutions.</t>
  </si>
  <si>
    <t xml:space="preserve">Rain Dance, Sunny Day, Electric Terrain, Trick Room, Gravity, Sandstorm</t>
  </si>
  <si>
    <t xml:space="preserve">weather vs terrain, duration, one-active-at-a-time</t>
  </si>
  <si>
    <t xml:space="preserve">Turret</t>
  </si>
  <si>
    <t xml:space="preserve">Summons/places a user-side object (Substitute-type) or status-cast ranged pet</t>
  </si>
  <si>
    <t xml:space="preserve">Stationary summon that fires on its own.</t>
  </si>
  <si>
    <t xml:space="preserve">Yes</t>
  </si>
  <si>
    <t xml:space="preserve">Substitute, Will-O-Wisp, Beat Up, Spiky Shield</t>
  </si>
  <si>
    <t xml:space="preserve">summon cap, hp, fire rate</t>
  </si>
  <si>
    <t xml:space="preserve">Mines</t>
  </si>
  <si>
    <t xml:space="preserve">Entry hazard or trap move (damage placed before the foe arrives)</t>
  </si>
  <si>
    <t xml:space="preserve">Ground traps that detonate when stepped on.</t>
  </si>
  <si>
    <t xml:space="preserve">Spikes, Toxic Spikes, Stealth Rock, Sticky Web, String Shot</t>
  </si>
  <si>
    <t xml:space="preserve">trap cap, status rider, slow</t>
  </si>
  <si>
    <t xml:space="preserve">Dash</t>
  </si>
  <si>
    <t xml:space="preserve">Contact move with priority &gt; 0 or 'rush' tag</t>
  </si>
  <si>
    <t xml:space="preserve">Lunge across the screen, damaging everything along the path; repositions you.</t>
  </si>
  <si>
    <t xml:space="preserve">Quick Attack, Extreme Speed, Aqua Jet, Aerial Ace, Sucker Punch</t>
  </si>
  <si>
    <t xml:space="preserve">priority, i-frames, distance</t>
  </si>
  <si>
    <t xml:space="preserve">Trail</t>
  </si>
  <si>
    <t xml:space="preserve">Rolling / sustained-movement tag (user keeps moving while attacking)</t>
  </si>
  <si>
    <t xml:space="preserve">Damaging pools left behind as you move.</t>
  </si>
  <si>
    <t xml:space="preserve">Flame Wheel, Rollout, Ice Ball, Toxic (pool form), Smokescreen</t>
  </si>
  <si>
    <t xml:space="preserve">pool duration, status rider</t>
  </si>
  <si>
    <t xml:space="preserve">Orbit</t>
  </si>
  <si>
    <t xml:space="preserve">Bind/trap flag or wind-swirl tag around the user</t>
  </si>
  <si>
    <t xml:space="preserve">Orbs revolve around you; constant personal-space defense.</t>
  </si>
  <si>
    <t xml:space="preserve">Fire Spin, Whirlpool, Sand Tomb, Gust, Petal Blizzard, Wrap</t>
  </si>
  <si>
    <t xml:space="preserve">orb count, radius, rotation speed</t>
  </si>
  <si>
    <t xml:space="preserve">Melee</t>
  </si>
  <si>
    <t xml:space="preserve">Contact move, single target (physical default)</t>
  </si>
  <si>
    <t xml:space="preserve">Arc swing or charge in front of you.</t>
  </si>
  <si>
    <t xml:space="preserve">Tackle, Karate Chop, Bite, Vine Whip, Body Slam, Lick</t>
  </si>
  <si>
    <t xml:space="preserve">knockback, recoil, flinch, crit stage</t>
  </si>
  <si>
    <t xml:space="preserve">Boomerang</t>
  </si>
  <si>
    <t xml:space="preserve">Slicing flag or fixed 2-hit, non-contact</t>
  </si>
  <si>
    <t xml:space="preserve">Travels out and back, hitting both ways.</t>
  </si>
  <si>
    <t xml:space="preserve">Razor Leaf, Bonemerang, Psycho Cut, Air Cutter, Shadow Claw (ranged)</t>
  </si>
  <si>
    <t xml:space="preserve">return speed, pierce</t>
  </si>
  <si>
    <t xml:space="preserve">Chain</t>
  </si>
  <si>
    <t xml:space="preserve">Special, single target, arc/jump tag (Electric, Ghost curse)</t>
  </si>
  <si>
    <t xml:space="preserve">Jumps from one enemy to the next; strong against packed hordes.</t>
  </si>
  <si>
    <t xml:space="preserve">Thunderbolt, Spark, Zap Cannon, Hex, Chain-style curses</t>
  </si>
  <si>
    <t xml:space="preserve">jump count, jump falloff</t>
  </si>
  <si>
    <t xml:space="preserve">Meteors</t>
  </si>
  <si>
    <t xml:space="preserve">Falls-from-above tag, random/spread targeting</t>
  </si>
  <si>
    <t xml:space="preserve">Strikes called down on nearby enemies; slows what it hits.</t>
  </si>
  <si>
    <t xml:space="preserve">Rock Slide, Meteor Mash, Hail, Icicle Crash, Draco Meteor</t>
  </si>
  <si>
    <t xml:space="preserve">strike count, radius, slow</t>
  </si>
  <si>
    <t xml:space="preserve">Beam</t>
  </si>
  <si>
    <t xml:space="preserve">Special, power &gt;= 100 with accuracy &lt;= 85, or beam/ray tag</t>
  </si>
  <si>
    <t xml:space="preserve">Slow, wide, high-damage line piercing its lane.</t>
  </si>
  <si>
    <t xml:space="preserve">Hydro Pump, Ice Beam, Flash Cannon, Psybeam, Dragon Rage</t>
  </si>
  <si>
    <t xml:space="preserve">charge time, width, length</t>
  </si>
  <si>
    <t xml:space="preserve">Burst</t>
  </si>
  <si>
    <t xml:space="preserve">Target = all adjacent/all foes, power &gt; 80, or sound/wave tag</t>
  </si>
  <si>
    <t xml:space="preserve">Radial shockwave in every direction.</t>
  </si>
  <si>
    <t xml:space="preserve">Hyper Voice, Heat Wave, Dark Pulse, Mud Shot, Fairy Wind</t>
  </si>
  <si>
    <t xml:space="preserve">projectile count, pierce</t>
  </si>
  <si>
    <t xml:space="preserve">Aura</t>
  </si>
  <si>
    <t xml:space="preserve">Target = all adjacent, power &lt;= 80, continuous/ground-shake feel</t>
  </si>
  <si>
    <t xml:space="preserve">Permanent field around you that ticks damage on whatever is nearby.</t>
  </si>
  <si>
    <t xml:space="preserve">Bulldoze, Discharge, Bug Buzz, Powder Snow, Dazzling Gleam, Earthquake</t>
  </si>
  <si>
    <t xml:space="preserve">radius, tick rate, slow</t>
  </si>
  <si>
    <t xml:space="preserve">Spray</t>
  </si>
  <si>
    <t xml:space="preserve">Special, ranged, short-range stream/flame/cone tag with status chance</t>
  </si>
  <si>
    <t xml:space="preserve">Short forward cone of repeated hits with status buildup.</t>
  </si>
  <si>
    <t xml:space="preserve">Flamethrower, Bubble Beam, Poison Gas, Sludge Wave</t>
  </si>
  <si>
    <t xml:space="preserve">status chance, cone angle, tick rate</t>
  </si>
  <si>
    <t xml:space="preserve">Projectile</t>
  </si>
  <si>
    <t xml:space="preserve">DEFAULT: any remaining ranged single-target damaging move</t>
  </si>
  <si>
    <t xml:space="preserve">Fires at nearest enemy and pierces several.</t>
  </si>
  <si>
    <t xml:space="preserve">Ember, Water Gun, Thunder Shock, Shadow Ball, Aura Sphere, Rock Throw</t>
  </si>
  <si>
    <t xml:space="preserve">pierce, homing, size</t>
  </si>
  <si>
    <t xml:space="preserve">Payload</t>
  </si>
  <si>
    <t xml:space="preserve">Range</t>
  </si>
  <si>
    <t xml:space="preserve">Target</t>
  </si>
  <si>
    <t xml:space="preserve">Shape</t>
  </si>
  <si>
    <t xml:space="preserve">Persistence</t>
  </si>
  <si>
    <t xml:space="preserve">Movement</t>
  </si>
  <si>
    <t xml:space="preserve">Signature</t>
  </si>
  <si>
    <t xml:space="preserve">Same-axes count</t>
  </si>
  <si>
    <t xml:space="preserve">Notes</t>
  </si>
  <si>
    <t xml:space="preserve">buff</t>
  </si>
  <si>
    <t xml:space="preserve">self</t>
  </si>
  <si>
    <t xml:space="preserve">none</t>
  </si>
  <si>
    <t xml:space="preserve">timed</t>
  </si>
  <si>
    <t xml:space="preserve">follows user</t>
  </si>
  <si>
    <t xml:space="preserve">Stat engine; stacks while active.</t>
  </si>
  <si>
    <t xml:space="preserve">heal</t>
  </si>
  <si>
    <t xml:space="preserve">instant</t>
  </si>
  <si>
    <t xml:space="preserve">Regen variant = persistence timed.</t>
  </si>
  <si>
    <t xml:space="preserve">shield</t>
  </si>
  <si>
    <t xml:space="preserve">Invuln window or % reduction.</t>
  </si>
  <si>
    <t xml:space="preserve">debuff</t>
  </si>
  <si>
    <t xml:space="preserve">near</t>
  </si>
  <si>
    <t xml:space="preserve">area</t>
  </si>
  <si>
    <t xml:space="preserve">circle</t>
  </si>
  <si>
    <t xml:space="preserve">expands</t>
  </si>
  <si>
    <t xml:space="preserve">Cone variant (powders) = shape cone.</t>
  </si>
  <si>
    <t xml:space="preserve">field</t>
  </si>
  <si>
    <t xml:space="preserve">global</t>
  </si>
  <si>
    <t xml:space="preserve">persistent</t>
  </si>
  <si>
    <t xml:space="preserve">static</t>
  </si>
  <si>
    <t xml:space="preserve">Weather/terrain; one active at a time.</t>
  </si>
  <si>
    <t xml:space="preserve">damage</t>
  </si>
  <si>
    <t xml:space="preserve">far</t>
  </si>
  <si>
    <t xml:space="preserve">single</t>
  </si>
  <si>
    <t xml:space="preserve">point</t>
  </si>
  <si>
    <t xml:space="preserve">Summon fires on its own.</t>
  </si>
  <si>
    <t xml:space="preserve">scatter</t>
  </si>
  <si>
    <t xml:space="preserve">until-triggered</t>
  </si>
  <si>
    <t xml:space="preserve">Hazards and traps.</t>
  </si>
  <si>
    <t xml:space="preserve">touch</t>
  </si>
  <si>
    <t xml:space="preserve">multi</t>
  </si>
  <si>
    <t xml:space="preserve">line</t>
  </si>
  <si>
    <t xml:space="preserve">user moves</t>
  </si>
  <si>
    <t xml:space="preserve">Repositions the user.</t>
  </si>
  <si>
    <t xml:space="preserve">lingering</t>
  </si>
  <si>
    <t xml:space="preserve">Pools left behind.</t>
  </si>
  <si>
    <t xml:space="preserve">ring</t>
  </si>
  <si>
    <t xml:space="preserve">Revolving orbs.</t>
  </si>
  <si>
    <t xml:space="preserve">arc</t>
  </si>
  <si>
    <t xml:space="preserve">Contact swing.</t>
  </si>
  <si>
    <t xml:space="preserve">returns</t>
  </si>
  <si>
    <t xml:space="preserve">Hits out and back.</t>
  </si>
  <si>
    <t xml:space="preserve">chain</t>
  </si>
  <si>
    <t xml:space="preserve">travels</t>
  </si>
  <si>
    <t xml:space="preserve">Jumps between enemies.</t>
  </si>
  <si>
    <t xml:space="preserve">falls</t>
  </si>
  <si>
    <t xml:space="preserve">Strikes from above.</t>
  </si>
  <si>
    <t xml:space="preserve">Wide pierce lane.</t>
  </si>
  <si>
    <t xml:space="preserve">Radial shockwave.</t>
  </si>
  <si>
    <t xml:space="preserve">Ticking field around user.</t>
  </si>
  <si>
    <t xml:space="preserve">cone</t>
  </si>
  <si>
    <t xml:space="preserve">Short cone, repeated hits.</t>
  </si>
  <si>
    <t xml:space="preserve">Default ranged shot with pierce.</t>
  </si>
  <si>
    <t xml:space="preserve">Legend</t>
  </si>
  <si>
    <t xml:space="preserve">Edit cells B:G (dropdowns). 'Same-axes count' above 1 turns red: two kinds are identical on every axis, so they should merge or get a distinguishing axis value.</t>
  </si>
  <si>
    <t xml:space="preserve">Range: self = user only, touch = melee reach, near = radius around user, far = reaches out, global = whole arena.</t>
  </si>
  <si>
    <t xml:space="preserve">Candidate</t>
  </si>
  <si>
    <t xml:space="preserve">Suggested handling</t>
  </si>
  <si>
    <t xml:space="preserve">Barrier wall</t>
  </si>
  <si>
    <t xml:space="preserve">Reflect, Light Screen, Aurora Veil</t>
  </si>
  <si>
    <t xml:space="preserve">NEW KIND 'Wall' (payload decides shield vs damage)</t>
  </si>
  <si>
    <t xml:space="preserve">Fire wall</t>
  </si>
  <si>
    <t xml:space="preserve">Fire Pledge, Sea of Fire</t>
  </si>
  <si>
    <t xml:space="preserve">NEW KIND 'Wall' (same shape as Barrier wall)</t>
  </si>
  <si>
    <t xml:space="preserve">Foe vortex</t>
  </si>
  <si>
    <t xml:space="preserve">follows target</t>
  </si>
  <si>
    <t xml:space="preserve">Whirlpool, Sand Tomb, Magma Storm, Fire Spin (on foe)</t>
  </si>
  <si>
    <t xml:space="preserve">NEW KIND 'Vortex' (Orbit placed on an enemy)</t>
  </si>
  <si>
    <t xml:space="preserve">Delayed strike</t>
  </si>
  <si>
    <t xml:space="preserve">delayed</t>
  </si>
  <si>
    <t xml:space="preserve">Future Sight, Doom Desire</t>
  </si>
  <si>
    <t xml:space="preserve">FLAG on Meteors/Burst: 'delay' (not a new Kind)</t>
  </si>
  <si>
    <t xml:space="preserve">Powder cone</t>
  </si>
  <si>
    <t xml:space="preserve">Sleep Powder, Stun Spore, Poison Powder</t>
  </si>
  <si>
    <t xml:space="preserve">VARIANT of Control with shape = cone</t>
  </si>
  <si>
    <t xml:space="preserve">Healing zone</t>
  </si>
  <si>
    <t xml:space="preserve">Aromatherapy, Life Dew, Heal Pulse</t>
  </si>
  <si>
    <t xml:space="preserve">VARIANT of Mend with persistence = persistent</t>
  </si>
  <si>
    <t xml:space="preserve">Tether / root</t>
  </si>
  <si>
    <t xml:space="preserve">Mean Look, Spider Web, Block, Bind</t>
  </si>
  <si>
    <t xml:space="preserve">VARIANT of Control (root effect)</t>
  </si>
  <si>
    <t xml:space="preserve">Proposals only. These combinations are absent from the 19 kinds but appear in the mainline movepool.</t>
  </si>
  <si>
    <t xml:space="preserve">Derivable from mainline data?</t>
  </si>
  <si>
    <t xml:space="preserve">YES: move category plus status/heal/protect effect</t>
  </si>
  <si>
    <t xml:space="preserve">YES: contact flag and target field (touch vs near vs far); global for field moves</t>
  </si>
  <si>
    <t xml:space="preserve">YES: mainline target field</t>
  </si>
  <si>
    <t xml:space="preserve">NO: hand-tag once per move, defaulted by Kind</t>
  </si>
  <si>
    <t xml:space="preserve">PARTIAL: bind/trap/weather flags and Future Sight give some; rest hand-tagged</t>
  </si>
  <si>
    <t xml:space="preserve">Mainline field</t>
  </si>
  <si>
    <t xml:space="preserve">Maps to (survivor mechanic)</t>
  </si>
  <si>
    <t xml:space="preserve">Why</t>
  </si>
  <si>
    <t xml:space="preserve">Tuning notes</t>
  </si>
  <si>
    <t xml:space="preserve">Base Power</t>
  </si>
  <si>
    <t xml:space="preserve">Damage per hit/tick</t>
  </si>
  <si>
    <t xml:space="preserve">Keeps relative move strength faithful.</t>
  </si>
  <si>
    <t xml:space="preserve">Divide by expected ticks for Aura/Spray/Trail so DPS, not hit size, matches mainline ratios.</t>
  </si>
  <si>
    <t xml:space="preserve">Accuracy</t>
  </si>
  <si>
    <t xml:space="preserve">Area / projectile size / pierce (NOT miss chance)</t>
  </si>
  <si>
    <t xml:space="preserve">Random misses feel like lag in real time.</t>
  </si>
  <si>
    <t xml:space="preserve">Low accuracy = big and slow (Hydro Pump); high accuracy = narrow and fast.</t>
  </si>
  <si>
    <t xml:space="preserve">PP</t>
  </si>
  <si>
    <t xml:space="preserve">Cooldown (inverse)</t>
  </si>
  <si>
    <t xml:space="preserve">Low PP = long cooldown, high PP = spammable.</t>
  </si>
  <si>
    <t xml:space="preserve">Start with cooldown = k / PP, tune k globally.</t>
  </si>
  <si>
    <t xml:space="preserve">Priority</t>
  </si>
  <si>
    <t xml:space="preserve">Cast speed / Dash i-frames</t>
  </si>
  <si>
    <t xml:space="preserve">Priority moves already mean 'act first'.</t>
  </si>
  <si>
    <t xml:space="preserve">Only Dash and Ward use it.</t>
  </si>
  <si>
    <t xml:space="preserve">Category (Physical / Special)</t>
  </si>
  <si>
    <t xml:space="preserve">Uses Attack vs Sp. Attack and Defense vs Sp. Defense</t>
  </si>
  <si>
    <t xml:space="preserve">Preserves the stat-spread identity you want.</t>
  </si>
  <si>
    <t xml:space="preserve">Contact flag</t>
  </si>
  <si>
    <t xml:space="preserve">Range (contact = short, non-contact = long)</t>
  </si>
  <si>
    <t xml:space="preserve">Core mainline distinction in real-time form.</t>
  </si>
  <si>
    <t xml:space="preserve">Target (single / all adjacent / all foes / self / field)</t>
  </si>
  <si>
    <t xml:space="preserve">Picks the Kind (see Kinds sheet)</t>
  </si>
  <si>
    <t xml:space="preserve">Biggest single rule driver.</t>
  </si>
  <si>
    <t xml:space="preserve">Type</t>
  </si>
  <si>
    <t xml:space="preserve">Damage multiplier via type chart; also status/rider flavor</t>
  </si>
  <si>
    <t xml:space="preserve">Already decided: soft chart for now, hard chart later.</t>
  </si>
  <si>
    <t xml:space="preserve">STAB</t>
  </si>
  <si>
    <t xml:space="preserve">Bonus damage when move type matches the Pokémon</t>
  </si>
  <si>
    <t xml:space="preserve">Cheap fidelity win.</t>
  </si>
  <si>
    <t xml:space="preserve">Secondary effect chance</t>
  </si>
  <si>
    <t xml:space="preserve">Proc rate on hit</t>
  </si>
  <si>
    <t xml:space="preserve">Burn/flinch/freeze chances translate directly.</t>
  </si>
  <si>
    <t xml:space="preserve">Cap procs per second so Spray does not hard-lock.</t>
  </si>
  <si>
    <t xml:space="preserve">Crit stage</t>
  </si>
  <si>
    <t xml:space="preserve">Crit chance</t>
  </si>
  <si>
    <t xml:space="preserve">Straight mapping.</t>
  </si>
  <si>
    <t xml:space="preserve">Multi-hit</t>
  </si>
  <si>
    <t xml:space="preserve">Boomerang-style double hit or burst of ticks</t>
  </si>
  <si>
    <t xml:space="preserve">Flag, not a new Kind.</t>
  </si>
  <si>
    <t xml:space="preserve">Two-turn / charge</t>
  </si>
  <si>
    <t xml:space="preserve">Windup before the move fires</t>
  </si>
  <si>
    <t xml:space="preserve">Turn-based cost becomes a real-time commitment.</t>
  </si>
  <si>
    <t xml:space="preserve">Flag: charge time.</t>
  </si>
  <si>
    <t xml:space="preserve">Recoil / drain</t>
  </si>
  <si>
    <t xml:space="preserve">Self-damage or heal-on-hit fraction</t>
  </si>
  <si>
    <t xml:space="preserve">Flag on any damaging Kind.</t>
  </si>
  <si>
    <t xml:space="preserve">OHKO moves</t>
  </si>
  <si>
    <t xml:space="preserve">Execute below an HP threshold on normal enemies; boss immune</t>
  </si>
  <si>
    <t xml:space="preserve">A true instant kill breaks a survivors loop.</t>
  </si>
  <si>
    <t xml:space="preserve">Flag; needs a boss exemption.</t>
  </si>
  <si>
    <t xml:space="preserve">Flinch</t>
  </si>
  <si>
    <t xml:space="preserve">Brief stagger / stun</t>
  </si>
  <si>
    <t xml:space="preserve">Cap duration against bosses.</t>
  </si>
  <si>
    <t xml:space="preserve">Override tag (hand-set)</t>
  </si>
  <si>
    <t xml:space="preserve">Forces a Kind regardless of rules</t>
  </si>
  <si>
    <t xml:space="preserve">The rules cover roughly the bulk; names like Hex or Thunderbolt need a hand tag.</t>
  </si>
  <si>
    <t xml:space="preserve">Keep an Override column in the master movepool sheet.</t>
  </si>
  <si>
    <t xml:space="preserve">How to use this workbook</t>
  </si>
  <si>
    <t xml:space="preserve">1. Kinds: 19 delivery kinds. Green rows are new. Rules are evaluated top to bottom by 'Eval order'; the first match decides the Kind.</t>
  </si>
  <si>
    <t xml:space="preserve">2. Thresholds (power 80/100, accuracy 85) are STARTING VALUES, not tested numbers. Tune them against real movepool data.</t>
  </si>
  <si>
    <t xml:space="preserve">3. Existing kind names and behaviors come from pokesurvivor.org/moves (15 delivery kinds, 64 moves). New kinds (Mend, Ward, Control, Field) are proposals.</t>
  </si>
  <si>
    <t xml:space="preserve">4. Move evolution is dropped from the fork, so there is no evolution column.</t>
  </si>
  <si>
    <t xml:space="preserve">5. Next step: a master movepool sheet with one row per mainline move (power, accuracy, PP, contact, target, flags) and a Kind column computed from these rules, plus an Override column.</t>
  </si>
  <si>
    <t xml:space="preserve">6. Axes / Axis values / Gaps: the 19 kinds decomposed on six axes (kinds become named presets of axis values). Range is split into self / touch / near / far / global (near vs far was overloaded). Shape, Persistence and Movement are hand-tagged; Payload, Range and Target derive from mainline data.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</si>
</sst>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A44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2"/>
    <col collapsed="false" customWidth="true" hidden="false" outlineLevel="0" max="5" min="5" style="0" width="46"/>
    <col collapsed="false" customWidth="true" hidden="false" outlineLevel="0" max="6" min="6" style="0" width="9"/>
    <col collapsed="false" customWidth="true" hidden="false" outlineLevel="0" max="7" min="7" style="0" width="44"/>
    <col collapsed="false" customWidth="true" hidden="false" outlineLevel="0" max="8" min="8" style="0" width="3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23.85" hidden="false" customHeight="false" outlineLevel="0" collapsed="false">
      <c r="A2" s="2" t="n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23.85" hidden="false" customHeight="false" outlineLevel="0" collapsed="false">
      <c r="A3" s="4" t="n">
        <v>2</v>
      </c>
      <c r="B3" s="5" t="s">
        <v>15</v>
      </c>
      <c r="C3" s="4" t="s">
        <v>16</v>
      </c>
      <c r="D3" s="4" t="s">
        <v>17</v>
      </c>
      <c r="E3" s="4" t="s">
        <v>18</v>
      </c>
      <c r="F3" s="4" t="s">
        <v>12</v>
      </c>
      <c r="G3" s="4" t="s">
        <v>19</v>
      </c>
      <c r="H3" s="4" t="s">
        <v>20</v>
      </c>
    </row>
    <row r="4" customFormat="false" ht="23.85" hidden="false" customHeight="false" outlineLevel="0" collapsed="false">
      <c r="A4" s="4" t="n">
        <v>3</v>
      </c>
      <c r="B4" s="5" t="s">
        <v>21</v>
      </c>
      <c r="C4" s="4" t="s">
        <v>16</v>
      </c>
      <c r="D4" s="4" t="s">
        <v>22</v>
      </c>
      <c r="E4" s="4" t="s">
        <v>23</v>
      </c>
      <c r="F4" s="4" t="s">
        <v>12</v>
      </c>
      <c r="G4" s="4" t="s">
        <v>24</v>
      </c>
      <c r="H4" s="4" t="s">
        <v>25</v>
      </c>
    </row>
    <row r="5" customFormat="false" ht="23.85" hidden="false" customHeight="false" outlineLevel="0" collapsed="false">
      <c r="A5" s="4" t="n">
        <v>4</v>
      </c>
      <c r="B5" s="5" t="s">
        <v>26</v>
      </c>
      <c r="C5" s="4" t="s">
        <v>16</v>
      </c>
      <c r="D5" s="4" t="s">
        <v>27</v>
      </c>
      <c r="E5" s="4" t="s">
        <v>28</v>
      </c>
      <c r="F5" s="4" t="s">
        <v>12</v>
      </c>
      <c r="G5" s="4" t="s">
        <v>29</v>
      </c>
      <c r="H5" s="4" t="s">
        <v>30</v>
      </c>
    </row>
    <row r="6" customFormat="false" ht="23.85" hidden="false" customHeight="false" outlineLevel="0" collapsed="false">
      <c r="A6" s="4" t="n">
        <v>5</v>
      </c>
      <c r="B6" s="5" t="s">
        <v>31</v>
      </c>
      <c r="C6" s="4" t="s">
        <v>16</v>
      </c>
      <c r="D6" s="4" t="s">
        <v>32</v>
      </c>
      <c r="E6" s="4" t="s">
        <v>33</v>
      </c>
      <c r="F6" s="4" t="s">
        <v>12</v>
      </c>
      <c r="G6" s="4" t="s">
        <v>34</v>
      </c>
      <c r="H6" s="4" t="s">
        <v>35</v>
      </c>
    </row>
    <row r="7" customFormat="false" ht="23.85" hidden="false" customHeight="false" outlineLevel="0" collapsed="false">
      <c r="A7" s="2" t="n">
        <v>6</v>
      </c>
      <c r="B7" s="3" t="s">
        <v>36</v>
      </c>
      <c r="C7" s="2" t="s">
        <v>9</v>
      </c>
      <c r="D7" s="2" t="s">
        <v>37</v>
      </c>
      <c r="E7" s="2" t="s">
        <v>38</v>
      </c>
      <c r="F7" s="2" t="s">
        <v>39</v>
      </c>
      <c r="G7" s="2" t="s">
        <v>40</v>
      </c>
      <c r="H7" s="2" t="s">
        <v>41</v>
      </c>
    </row>
    <row r="8" customFormat="false" ht="23.85" hidden="false" customHeight="false" outlineLevel="0" collapsed="false">
      <c r="A8" s="2" t="n">
        <v>7</v>
      </c>
      <c r="B8" s="3" t="s">
        <v>42</v>
      </c>
      <c r="C8" s="2" t="s">
        <v>9</v>
      </c>
      <c r="D8" s="2" t="s">
        <v>43</v>
      </c>
      <c r="E8" s="2" t="s">
        <v>44</v>
      </c>
      <c r="F8" s="2" t="s">
        <v>39</v>
      </c>
      <c r="G8" s="2" t="s">
        <v>45</v>
      </c>
      <c r="H8" s="2" t="s">
        <v>46</v>
      </c>
    </row>
    <row r="9" customFormat="false" ht="23.85" hidden="false" customHeight="false" outlineLevel="0" collapsed="false">
      <c r="A9" s="2" t="n">
        <v>8</v>
      </c>
      <c r="B9" s="3" t="s">
        <v>47</v>
      </c>
      <c r="C9" s="2" t="s">
        <v>9</v>
      </c>
      <c r="D9" s="2" t="s">
        <v>48</v>
      </c>
      <c r="E9" s="2" t="s">
        <v>49</v>
      </c>
      <c r="F9" s="2" t="s">
        <v>39</v>
      </c>
      <c r="G9" s="2" t="s">
        <v>50</v>
      </c>
      <c r="H9" s="2" t="s">
        <v>51</v>
      </c>
    </row>
    <row r="10" customFormat="false" ht="23.85" hidden="false" customHeight="false" outlineLevel="0" collapsed="false">
      <c r="A10" s="2" t="n">
        <v>9</v>
      </c>
      <c r="B10" s="3" t="s">
        <v>52</v>
      </c>
      <c r="C10" s="2" t="s">
        <v>9</v>
      </c>
      <c r="D10" s="2" t="s">
        <v>53</v>
      </c>
      <c r="E10" s="2" t="s">
        <v>54</v>
      </c>
      <c r="F10" s="2" t="s">
        <v>39</v>
      </c>
      <c r="G10" s="2" t="s">
        <v>55</v>
      </c>
      <c r="H10" s="2" t="s">
        <v>56</v>
      </c>
    </row>
    <row r="11" customFormat="false" ht="23.85" hidden="false" customHeight="false" outlineLevel="0" collapsed="false">
      <c r="A11" s="2" t="n">
        <v>10</v>
      </c>
      <c r="B11" s="3" t="s">
        <v>57</v>
      </c>
      <c r="C11" s="2" t="s">
        <v>9</v>
      </c>
      <c r="D11" s="2" t="s">
        <v>58</v>
      </c>
      <c r="E11" s="2" t="s">
        <v>59</v>
      </c>
      <c r="F11" s="2" t="s">
        <v>39</v>
      </c>
      <c r="G11" s="2" t="s">
        <v>60</v>
      </c>
      <c r="H11" s="2" t="s">
        <v>61</v>
      </c>
    </row>
    <row r="12" customFormat="false" ht="23.85" hidden="false" customHeight="false" outlineLevel="0" collapsed="false">
      <c r="A12" s="2" t="n">
        <v>11</v>
      </c>
      <c r="B12" s="3" t="s">
        <v>62</v>
      </c>
      <c r="C12" s="2" t="s">
        <v>9</v>
      </c>
      <c r="D12" s="2" t="s">
        <v>63</v>
      </c>
      <c r="E12" s="2" t="s">
        <v>64</v>
      </c>
      <c r="F12" s="2" t="s">
        <v>39</v>
      </c>
      <c r="G12" s="2" t="s">
        <v>65</v>
      </c>
      <c r="H12" s="2" t="s">
        <v>66</v>
      </c>
    </row>
    <row r="13" customFormat="false" ht="23.85" hidden="false" customHeight="false" outlineLevel="0" collapsed="false">
      <c r="A13" s="2" t="n">
        <v>12</v>
      </c>
      <c r="B13" s="3" t="s">
        <v>67</v>
      </c>
      <c r="C13" s="2" t="s">
        <v>9</v>
      </c>
      <c r="D13" s="2" t="s">
        <v>68</v>
      </c>
      <c r="E13" s="2" t="s">
        <v>69</v>
      </c>
      <c r="F13" s="2" t="s">
        <v>39</v>
      </c>
      <c r="G13" s="2" t="s">
        <v>70</v>
      </c>
      <c r="H13" s="2" t="s">
        <v>71</v>
      </c>
    </row>
    <row r="14" customFormat="false" ht="23.85" hidden="false" customHeight="false" outlineLevel="0" collapsed="false">
      <c r="A14" s="2" t="n">
        <v>13</v>
      </c>
      <c r="B14" s="3" t="s">
        <v>72</v>
      </c>
      <c r="C14" s="2" t="s">
        <v>9</v>
      </c>
      <c r="D14" s="2" t="s">
        <v>73</v>
      </c>
      <c r="E14" s="2" t="s">
        <v>74</v>
      </c>
      <c r="F14" s="2" t="s">
        <v>39</v>
      </c>
      <c r="G14" s="2" t="s">
        <v>75</v>
      </c>
      <c r="H14" s="2" t="s">
        <v>76</v>
      </c>
    </row>
    <row r="15" customFormat="false" ht="23.85" hidden="false" customHeight="false" outlineLevel="0" collapsed="false">
      <c r="A15" s="2" t="n">
        <v>14</v>
      </c>
      <c r="B15" s="3" t="s">
        <v>77</v>
      </c>
      <c r="C15" s="2" t="s">
        <v>9</v>
      </c>
      <c r="D15" s="2" t="s">
        <v>78</v>
      </c>
      <c r="E15" s="2" t="s">
        <v>79</v>
      </c>
      <c r="F15" s="2" t="s">
        <v>39</v>
      </c>
      <c r="G15" s="2" t="s">
        <v>80</v>
      </c>
      <c r="H15" s="2" t="s">
        <v>81</v>
      </c>
    </row>
    <row r="16" customFormat="false" ht="23.85" hidden="false" customHeight="false" outlineLevel="0" collapsed="false">
      <c r="A16" s="2" t="n">
        <v>15</v>
      </c>
      <c r="B16" s="3" t="s">
        <v>82</v>
      </c>
      <c r="C16" s="2" t="s">
        <v>9</v>
      </c>
      <c r="D16" s="2" t="s">
        <v>83</v>
      </c>
      <c r="E16" s="2" t="s">
        <v>84</v>
      </c>
      <c r="F16" s="2" t="s">
        <v>39</v>
      </c>
      <c r="G16" s="2" t="s">
        <v>85</v>
      </c>
      <c r="H16" s="2" t="s">
        <v>86</v>
      </c>
    </row>
    <row r="17" customFormat="false" ht="23.85" hidden="false" customHeight="false" outlineLevel="0" collapsed="false">
      <c r="A17" s="2" t="n">
        <v>16</v>
      </c>
      <c r="B17" s="3" t="s">
        <v>87</v>
      </c>
      <c r="C17" s="2" t="s">
        <v>9</v>
      </c>
      <c r="D17" s="2" t="s">
        <v>88</v>
      </c>
      <c r="E17" s="2" t="s">
        <v>89</v>
      </c>
      <c r="F17" s="2" t="s">
        <v>39</v>
      </c>
      <c r="G17" s="2" t="s">
        <v>90</v>
      </c>
      <c r="H17" s="2" t="s">
        <v>91</v>
      </c>
    </row>
    <row r="18" customFormat="false" ht="23.85" hidden="false" customHeight="false" outlineLevel="0" collapsed="false">
      <c r="A18" s="2" t="n">
        <v>17</v>
      </c>
      <c r="B18" s="3" t="s">
        <v>92</v>
      </c>
      <c r="C18" s="2" t="s">
        <v>9</v>
      </c>
      <c r="D18" s="2" t="s">
        <v>93</v>
      </c>
      <c r="E18" s="2" t="s">
        <v>94</v>
      </c>
      <c r="F18" s="2" t="s">
        <v>39</v>
      </c>
      <c r="G18" s="2" t="s">
        <v>95</v>
      </c>
      <c r="H18" s="2" t="s">
        <v>96</v>
      </c>
    </row>
    <row r="19" customFormat="false" ht="23.85" hidden="false" customHeight="false" outlineLevel="0" collapsed="false">
      <c r="A19" s="2" t="n">
        <v>18</v>
      </c>
      <c r="B19" s="3" t="s">
        <v>97</v>
      </c>
      <c r="C19" s="2" t="s">
        <v>9</v>
      </c>
      <c r="D19" s="2" t="s">
        <v>98</v>
      </c>
      <c r="E19" s="2" t="s">
        <v>99</v>
      </c>
      <c r="F19" s="2" t="s">
        <v>39</v>
      </c>
      <c r="G19" s="2" t="s">
        <v>100</v>
      </c>
      <c r="H19" s="2" t="s">
        <v>101</v>
      </c>
    </row>
    <row r="20" customFormat="false" ht="23.85" hidden="false" customHeight="false" outlineLevel="0" collapsed="false">
      <c r="A20" s="2" t="n">
        <v>19</v>
      </c>
      <c r="B20" s="3" t="s">
        <v>102</v>
      </c>
      <c r="C20" s="2" t="s">
        <v>9</v>
      </c>
      <c r="D20" s="2" t="s">
        <v>103</v>
      </c>
      <c r="E20" s="2" t="s">
        <v>104</v>
      </c>
      <c r="F20" s="2" t="s">
        <v>39</v>
      </c>
      <c r="G20" s="2" t="s">
        <v>105</v>
      </c>
      <c r="H20" s="2" t="s">
        <v>106</v>
      </c>
    </row>
  </sheetData>
  <autoFilter ref="A1:H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4" min="3" style="0" width="9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44"/>
    <col collapsed="false" customWidth="true" hidden="false" outlineLevel="0" max="9" min="9" style="0" width="12"/>
    <col collapsed="false" customWidth="true" hidden="false" outlineLevel="0" max="10" min="10" style="0" width="38"/>
  </cols>
  <sheetData>
    <row r="1" customFormat="false" ht="31.5" hidden="false" customHeight="true" outlineLevel="0" collapsed="false">
      <c r="A1" s="1" t="s">
        <v>1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</row>
    <row r="2" customFormat="false" ht="15" hidden="false" customHeight="false" outlineLevel="0" collapsed="false">
      <c r="A2" s="3" t="s">
        <v>8</v>
      </c>
      <c r="B2" s="2" t="s">
        <v>116</v>
      </c>
      <c r="C2" s="2" t="s">
        <v>117</v>
      </c>
      <c r="D2" s="2" t="s">
        <v>117</v>
      </c>
      <c r="E2" s="2" t="s">
        <v>118</v>
      </c>
      <c r="F2" s="2" t="s">
        <v>119</v>
      </c>
      <c r="G2" s="2" t="s">
        <v>120</v>
      </c>
      <c r="H2" s="2" t="str">
        <f aca="false">B2&amp;"|"&amp;C2&amp;"|"&amp;D2&amp;"|"&amp;E2&amp;"|"&amp;F2&amp;"|"&amp;G2</f>
        <v>buff|self|self|none|timed|follows user</v>
      </c>
      <c r="I2" s="6" t="n">
        <f aca="false">COUNTIF($H$2:$H$20,H2)</f>
        <v>1</v>
      </c>
      <c r="J2" s="2" t="s">
        <v>121</v>
      </c>
    </row>
    <row r="3" customFormat="false" ht="15" hidden="false" customHeight="false" outlineLevel="0" collapsed="false">
      <c r="A3" s="3" t="s">
        <v>15</v>
      </c>
      <c r="B3" s="2" t="s">
        <v>122</v>
      </c>
      <c r="C3" s="2" t="s">
        <v>117</v>
      </c>
      <c r="D3" s="2" t="s">
        <v>117</v>
      </c>
      <c r="E3" s="2" t="s">
        <v>118</v>
      </c>
      <c r="F3" s="2" t="s">
        <v>123</v>
      </c>
      <c r="G3" s="2" t="s">
        <v>120</v>
      </c>
      <c r="H3" s="2" t="str">
        <f aca="false">B3&amp;"|"&amp;C3&amp;"|"&amp;D3&amp;"|"&amp;E3&amp;"|"&amp;F3&amp;"|"&amp;G3</f>
        <v>heal|self|self|none|instant|follows user</v>
      </c>
      <c r="I3" s="6" t="n">
        <f aca="false">COUNTIF($H$2:$H$20,H3)</f>
        <v>1</v>
      </c>
      <c r="J3" s="2" t="s">
        <v>124</v>
      </c>
    </row>
    <row r="4" customFormat="false" ht="15" hidden="false" customHeight="false" outlineLevel="0" collapsed="false">
      <c r="A4" s="3" t="s">
        <v>21</v>
      </c>
      <c r="B4" s="2" t="s">
        <v>125</v>
      </c>
      <c r="C4" s="2" t="s">
        <v>117</v>
      </c>
      <c r="D4" s="2" t="s">
        <v>117</v>
      </c>
      <c r="E4" s="2" t="s">
        <v>118</v>
      </c>
      <c r="F4" s="2" t="s">
        <v>119</v>
      </c>
      <c r="G4" s="2" t="s">
        <v>120</v>
      </c>
      <c r="H4" s="2" t="str">
        <f aca="false">B4&amp;"|"&amp;C4&amp;"|"&amp;D4&amp;"|"&amp;E4&amp;"|"&amp;F4&amp;"|"&amp;G4</f>
        <v>shield|self|self|none|timed|follows user</v>
      </c>
      <c r="I4" s="6" t="n">
        <f aca="false">COUNTIF($H$2:$H$20,H4)</f>
        <v>1</v>
      </c>
      <c r="J4" s="2" t="s">
        <v>126</v>
      </c>
    </row>
    <row r="5" customFormat="false" ht="15" hidden="false" customHeight="false" outlineLevel="0" collapsed="false">
      <c r="A5" s="3" t="s">
        <v>26</v>
      </c>
      <c r="B5" s="2" t="s">
        <v>127</v>
      </c>
      <c r="C5" s="2" t="s">
        <v>128</v>
      </c>
      <c r="D5" s="2" t="s">
        <v>129</v>
      </c>
      <c r="E5" s="2" t="s">
        <v>130</v>
      </c>
      <c r="F5" s="2" t="s">
        <v>123</v>
      </c>
      <c r="G5" s="2" t="s">
        <v>131</v>
      </c>
      <c r="H5" s="2" t="str">
        <f aca="false">B5&amp;"|"&amp;C5&amp;"|"&amp;D5&amp;"|"&amp;E5&amp;"|"&amp;F5&amp;"|"&amp;G5</f>
        <v>debuff|near|area|circle|instant|expands</v>
      </c>
      <c r="I5" s="6" t="n">
        <f aca="false">COUNTIF($H$2:$H$20,H5)</f>
        <v>1</v>
      </c>
      <c r="J5" s="2" t="s">
        <v>132</v>
      </c>
    </row>
    <row r="6" customFormat="false" ht="15" hidden="false" customHeight="false" outlineLevel="0" collapsed="false">
      <c r="A6" s="3" t="s">
        <v>31</v>
      </c>
      <c r="B6" s="2" t="s">
        <v>133</v>
      </c>
      <c r="C6" s="2" t="s">
        <v>134</v>
      </c>
      <c r="D6" s="2" t="s">
        <v>133</v>
      </c>
      <c r="E6" s="2" t="s">
        <v>134</v>
      </c>
      <c r="F6" s="2" t="s">
        <v>135</v>
      </c>
      <c r="G6" s="2" t="s">
        <v>136</v>
      </c>
      <c r="H6" s="2" t="str">
        <f aca="false">B6&amp;"|"&amp;C6&amp;"|"&amp;D6&amp;"|"&amp;E6&amp;"|"&amp;F6&amp;"|"&amp;G6</f>
        <v>field|global|field|global|persistent|static</v>
      </c>
      <c r="I6" s="6" t="n">
        <f aca="false">COUNTIF($H$2:$H$20,H6)</f>
        <v>1</v>
      </c>
      <c r="J6" s="2" t="s">
        <v>137</v>
      </c>
    </row>
    <row r="7" customFormat="false" ht="15" hidden="false" customHeight="false" outlineLevel="0" collapsed="false">
      <c r="A7" s="3" t="s">
        <v>36</v>
      </c>
      <c r="B7" s="2" t="s">
        <v>138</v>
      </c>
      <c r="C7" s="2" t="s">
        <v>139</v>
      </c>
      <c r="D7" s="2" t="s">
        <v>140</v>
      </c>
      <c r="E7" s="2" t="s">
        <v>141</v>
      </c>
      <c r="F7" s="2" t="s">
        <v>135</v>
      </c>
      <c r="G7" s="2" t="s">
        <v>136</v>
      </c>
      <c r="H7" s="2" t="str">
        <f aca="false">B7&amp;"|"&amp;C7&amp;"|"&amp;D7&amp;"|"&amp;E7&amp;"|"&amp;F7&amp;"|"&amp;G7</f>
        <v>damage|far|single|point|persistent|static</v>
      </c>
      <c r="I7" s="6" t="n">
        <f aca="false">COUNTIF($H$2:$H$20,H7)</f>
        <v>1</v>
      </c>
      <c r="J7" s="2" t="s">
        <v>142</v>
      </c>
    </row>
    <row r="8" customFormat="false" ht="15" hidden="false" customHeight="false" outlineLevel="0" collapsed="false">
      <c r="A8" s="3" t="s">
        <v>42</v>
      </c>
      <c r="B8" s="2" t="s">
        <v>138</v>
      </c>
      <c r="C8" s="2" t="s">
        <v>139</v>
      </c>
      <c r="D8" s="2" t="s">
        <v>129</v>
      </c>
      <c r="E8" s="2" t="s">
        <v>143</v>
      </c>
      <c r="F8" s="2" t="s">
        <v>144</v>
      </c>
      <c r="G8" s="2" t="s">
        <v>136</v>
      </c>
      <c r="H8" s="2" t="str">
        <f aca="false">B8&amp;"|"&amp;C8&amp;"|"&amp;D8&amp;"|"&amp;E8&amp;"|"&amp;F8&amp;"|"&amp;G8</f>
        <v>damage|far|area|scatter|until-triggered|static</v>
      </c>
      <c r="I8" s="6" t="n">
        <f aca="false">COUNTIF($H$2:$H$20,H8)</f>
        <v>1</v>
      </c>
      <c r="J8" s="2" t="s">
        <v>145</v>
      </c>
    </row>
    <row r="9" customFormat="false" ht="15" hidden="false" customHeight="false" outlineLevel="0" collapsed="false">
      <c r="A9" s="3" t="s">
        <v>47</v>
      </c>
      <c r="B9" s="2" t="s">
        <v>138</v>
      </c>
      <c r="C9" s="2" t="s">
        <v>146</v>
      </c>
      <c r="D9" s="2" t="s">
        <v>147</v>
      </c>
      <c r="E9" s="2" t="s">
        <v>148</v>
      </c>
      <c r="F9" s="2" t="s">
        <v>123</v>
      </c>
      <c r="G9" s="2" t="s">
        <v>149</v>
      </c>
      <c r="H9" s="2" t="str">
        <f aca="false">B9&amp;"|"&amp;C9&amp;"|"&amp;D9&amp;"|"&amp;E9&amp;"|"&amp;F9&amp;"|"&amp;G9</f>
        <v>damage|touch|multi|line|instant|user moves</v>
      </c>
      <c r="I9" s="6" t="n">
        <f aca="false">COUNTIF($H$2:$H$20,H9)</f>
        <v>1</v>
      </c>
      <c r="J9" s="2" t="s">
        <v>150</v>
      </c>
    </row>
    <row r="10" customFormat="false" ht="15" hidden="false" customHeight="false" outlineLevel="0" collapsed="false">
      <c r="A10" s="3" t="s">
        <v>52</v>
      </c>
      <c r="B10" s="2" t="s">
        <v>138</v>
      </c>
      <c r="C10" s="2" t="s">
        <v>128</v>
      </c>
      <c r="D10" s="2" t="s">
        <v>129</v>
      </c>
      <c r="E10" s="2" t="s">
        <v>148</v>
      </c>
      <c r="F10" s="2" t="s">
        <v>151</v>
      </c>
      <c r="G10" s="2" t="s">
        <v>149</v>
      </c>
      <c r="H10" s="2" t="str">
        <f aca="false">B10&amp;"|"&amp;C10&amp;"|"&amp;D10&amp;"|"&amp;E10&amp;"|"&amp;F10&amp;"|"&amp;G10</f>
        <v>damage|near|area|line|lingering|user moves</v>
      </c>
      <c r="I10" s="6" t="n">
        <f aca="false">COUNTIF($H$2:$H$20,H10)</f>
        <v>1</v>
      </c>
      <c r="J10" s="2" t="s">
        <v>152</v>
      </c>
    </row>
    <row r="11" customFormat="false" ht="15" hidden="false" customHeight="false" outlineLevel="0" collapsed="false">
      <c r="A11" s="3" t="s">
        <v>57</v>
      </c>
      <c r="B11" s="2" t="s">
        <v>138</v>
      </c>
      <c r="C11" s="2" t="s">
        <v>128</v>
      </c>
      <c r="D11" s="2" t="s">
        <v>129</v>
      </c>
      <c r="E11" s="2" t="s">
        <v>153</v>
      </c>
      <c r="F11" s="2" t="s">
        <v>135</v>
      </c>
      <c r="G11" s="2" t="s">
        <v>120</v>
      </c>
      <c r="H11" s="2" t="str">
        <f aca="false">B11&amp;"|"&amp;C11&amp;"|"&amp;D11&amp;"|"&amp;E11&amp;"|"&amp;F11&amp;"|"&amp;G11</f>
        <v>damage|near|area|ring|persistent|follows user</v>
      </c>
      <c r="I11" s="6" t="n">
        <f aca="false">COUNTIF($H$2:$H$20,H11)</f>
        <v>1</v>
      </c>
      <c r="J11" s="2" t="s">
        <v>154</v>
      </c>
    </row>
    <row r="12" customFormat="false" ht="15" hidden="false" customHeight="false" outlineLevel="0" collapsed="false">
      <c r="A12" s="3" t="s">
        <v>62</v>
      </c>
      <c r="B12" s="2" t="s">
        <v>138</v>
      </c>
      <c r="C12" s="2" t="s">
        <v>146</v>
      </c>
      <c r="D12" s="2" t="s">
        <v>140</v>
      </c>
      <c r="E12" s="2" t="s">
        <v>155</v>
      </c>
      <c r="F12" s="2" t="s">
        <v>123</v>
      </c>
      <c r="G12" s="2" t="s">
        <v>136</v>
      </c>
      <c r="H12" s="2" t="str">
        <f aca="false">B12&amp;"|"&amp;C12&amp;"|"&amp;D12&amp;"|"&amp;E12&amp;"|"&amp;F12&amp;"|"&amp;G12</f>
        <v>damage|touch|single|arc|instant|static</v>
      </c>
      <c r="I12" s="6" t="n">
        <f aca="false">COUNTIF($H$2:$H$20,H12)</f>
        <v>1</v>
      </c>
      <c r="J12" s="2" t="s">
        <v>156</v>
      </c>
    </row>
    <row r="13" customFormat="false" ht="15" hidden="false" customHeight="false" outlineLevel="0" collapsed="false">
      <c r="A13" s="3" t="s">
        <v>67</v>
      </c>
      <c r="B13" s="2" t="s">
        <v>138</v>
      </c>
      <c r="C13" s="2" t="s">
        <v>139</v>
      </c>
      <c r="D13" s="2" t="s">
        <v>147</v>
      </c>
      <c r="E13" s="2" t="s">
        <v>148</v>
      </c>
      <c r="F13" s="2" t="s">
        <v>123</v>
      </c>
      <c r="G13" s="2" t="s">
        <v>157</v>
      </c>
      <c r="H13" s="2" t="str">
        <f aca="false">B13&amp;"|"&amp;C13&amp;"|"&amp;D13&amp;"|"&amp;E13&amp;"|"&amp;F13&amp;"|"&amp;G13</f>
        <v>damage|far|multi|line|instant|returns</v>
      </c>
      <c r="I13" s="6" t="n">
        <f aca="false">COUNTIF($H$2:$H$20,H13)</f>
        <v>1</v>
      </c>
      <c r="J13" s="2" t="s">
        <v>158</v>
      </c>
    </row>
    <row r="14" customFormat="false" ht="15" hidden="false" customHeight="false" outlineLevel="0" collapsed="false">
      <c r="A14" s="3" t="s">
        <v>72</v>
      </c>
      <c r="B14" s="2" t="s">
        <v>138</v>
      </c>
      <c r="C14" s="2" t="s">
        <v>139</v>
      </c>
      <c r="D14" s="2" t="s">
        <v>147</v>
      </c>
      <c r="E14" s="2" t="s">
        <v>159</v>
      </c>
      <c r="F14" s="2" t="s">
        <v>123</v>
      </c>
      <c r="G14" s="2" t="s">
        <v>160</v>
      </c>
      <c r="H14" s="2" t="str">
        <f aca="false">B14&amp;"|"&amp;C14&amp;"|"&amp;D14&amp;"|"&amp;E14&amp;"|"&amp;F14&amp;"|"&amp;G14</f>
        <v>damage|far|multi|chain|instant|travels</v>
      </c>
      <c r="I14" s="6" t="n">
        <f aca="false">COUNTIF($H$2:$H$20,H14)</f>
        <v>1</v>
      </c>
      <c r="J14" s="2" t="s">
        <v>161</v>
      </c>
    </row>
    <row r="15" customFormat="false" ht="15" hidden="false" customHeight="false" outlineLevel="0" collapsed="false">
      <c r="A15" s="3" t="s">
        <v>77</v>
      </c>
      <c r="B15" s="2" t="s">
        <v>138</v>
      </c>
      <c r="C15" s="2" t="s">
        <v>139</v>
      </c>
      <c r="D15" s="2" t="s">
        <v>129</v>
      </c>
      <c r="E15" s="2" t="s">
        <v>143</v>
      </c>
      <c r="F15" s="2" t="s">
        <v>123</v>
      </c>
      <c r="G15" s="2" t="s">
        <v>162</v>
      </c>
      <c r="H15" s="2" t="str">
        <f aca="false">B15&amp;"|"&amp;C15&amp;"|"&amp;D15&amp;"|"&amp;E15&amp;"|"&amp;F15&amp;"|"&amp;G15</f>
        <v>damage|far|area|scatter|instant|falls</v>
      </c>
      <c r="I15" s="6" t="n">
        <f aca="false">COUNTIF($H$2:$H$20,H15)</f>
        <v>1</v>
      </c>
      <c r="J15" s="2" t="s">
        <v>163</v>
      </c>
    </row>
    <row r="16" customFormat="false" ht="15" hidden="false" customHeight="false" outlineLevel="0" collapsed="false">
      <c r="A16" s="3" t="s">
        <v>82</v>
      </c>
      <c r="B16" s="2" t="s">
        <v>138</v>
      </c>
      <c r="C16" s="2" t="s">
        <v>139</v>
      </c>
      <c r="D16" s="2" t="s">
        <v>147</v>
      </c>
      <c r="E16" s="2" t="s">
        <v>148</v>
      </c>
      <c r="F16" s="2" t="s">
        <v>151</v>
      </c>
      <c r="G16" s="2" t="s">
        <v>136</v>
      </c>
      <c r="H16" s="2" t="str">
        <f aca="false">B16&amp;"|"&amp;C16&amp;"|"&amp;D16&amp;"|"&amp;E16&amp;"|"&amp;F16&amp;"|"&amp;G16</f>
        <v>damage|far|multi|line|lingering|static</v>
      </c>
      <c r="I16" s="6" t="n">
        <f aca="false">COUNTIF($H$2:$H$20,H16)</f>
        <v>1</v>
      </c>
      <c r="J16" s="2" t="s">
        <v>164</v>
      </c>
    </row>
    <row r="17" customFormat="false" ht="15" hidden="false" customHeight="false" outlineLevel="0" collapsed="false">
      <c r="A17" s="3" t="s">
        <v>87</v>
      </c>
      <c r="B17" s="2" t="s">
        <v>138</v>
      </c>
      <c r="C17" s="2" t="s">
        <v>128</v>
      </c>
      <c r="D17" s="2" t="s">
        <v>129</v>
      </c>
      <c r="E17" s="2" t="s">
        <v>130</v>
      </c>
      <c r="F17" s="2" t="s">
        <v>123</v>
      </c>
      <c r="G17" s="2" t="s">
        <v>131</v>
      </c>
      <c r="H17" s="2" t="str">
        <f aca="false">B17&amp;"|"&amp;C17&amp;"|"&amp;D17&amp;"|"&amp;E17&amp;"|"&amp;F17&amp;"|"&amp;G17</f>
        <v>damage|near|area|circle|instant|expands</v>
      </c>
      <c r="I17" s="6" t="n">
        <f aca="false">COUNTIF($H$2:$H$20,H17)</f>
        <v>1</v>
      </c>
      <c r="J17" s="2" t="s">
        <v>165</v>
      </c>
    </row>
    <row r="18" customFormat="false" ht="15" hidden="false" customHeight="false" outlineLevel="0" collapsed="false">
      <c r="A18" s="3" t="s">
        <v>92</v>
      </c>
      <c r="B18" s="2" t="s">
        <v>138</v>
      </c>
      <c r="C18" s="2" t="s">
        <v>128</v>
      </c>
      <c r="D18" s="2" t="s">
        <v>129</v>
      </c>
      <c r="E18" s="2" t="s">
        <v>130</v>
      </c>
      <c r="F18" s="2" t="s">
        <v>135</v>
      </c>
      <c r="G18" s="2" t="s">
        <v>120</v>
      </c>
      <c r="H18" s="2" t="str">
        <f aca="false">B18&amp;"|"&amp;C18&amp;"|"&amp;D18&amp;"|"&amp;E18&amp;"|"&amp;F18&amp;"|"&amp;G18</f>
        <v>damage|near|area|circle|persistent|follows user</v>
      </c>
      <c r="I18" s="6" t="n">
        <f aca="false">COUNTIF($H$2:$H$20,H18)</f>
        <v>1</v>
      </c>
      <c r="J18" s="2" t="s">
        <v>166</v>
      </c>
    </row>
    <row r="19" customFormat="false" ht="15" hidden="false" customHeight="false" outlineLevel="0" collapsed="false">
      <c r="A19" s="3" t="s">
        <v>97</v>
      </c>
      <c r="B19" s="2" t="s">
        <v>138</v>
      </c>
      <c r="C19" s="2" t="s">
        <v>128</v>
      </c>
      <c r="D19" s="2" t="s">
        <v>147</v>
      </c>
      <c r="E19" s="2" t="s">
        <v>167</v>
      </c>
      <c r="F19" s="2" t="s">
        <v>151</v>
      </c>
      <c r="G19" s="2" t="s">
        <v>136</v>
      </c>
      <c r="H19" s="2" t="str">
        <f aca="false">B19&amp;"|"&amp;C19&amp;"|"&amp;D19&amp;"|"&amp;E19&amp;"|"&amp;F19&amp;"|"&amp;G19</f>
        <v>damage|near|multi|cone|lingering|static</v>
      </c>
      <c r="I19" s="6" t="n">
        <f aca="false">COUNTIF($H$2:$H$20,H19)</f>
        <v>1</v>
      </c>
      <c r="J19" s="2" t="s">
        <v>168</v>
      </c>
    </row>
    <row r="20" customFormat="false" ht="15" hidden="false" customHeight="false" outlineLevel="0" collapsed="false">
      <c r="A20" s="3" t="s">
        <v>102</v>
      </c>
      <c r="B20" s="2" t="s">
        <v>138</v>
      </c>
      <c r="C20" s="2" t="s">
        <v>139</v>
      </c>
      <c r="D20" s="2" t="s">
        <v>147</v>
      </c>
      <c r="E20" s="2" t="s">
        <v>141</v>
      </c>
      <c r="F20" s="2" t="s">
        <v>123</v>
      </c>
      <c r="G20" s="2" t="s">
        <v>160</v>
      </c>
      <c r="H20" s="2" t="str">
        <f aca="false">B20&amp;"|"&amp;C20&amp;"|"&amp;D20&amp;"|"&amp;E20&amp;"|"&amp;F20&amp;"|"&amp;G20</f>
        <v>damage|far|multi|point|instant|travels</v>
      </c>
      <c r="I20" s="6" t="n">
        <f aca="false">COUNTIF($H$2:$H$20,H20)</f>
        <v>1</v>
      </c>
      <c r="J20" s="2" t="s">
        <v>169</v>
      </c>
    </row>
    <row r="22" customFormat="false" ht="15" hidden="false" customHeight="false" outlineLevel="0" collapsed="false">
      <c r="A22" s="7" t="s">
        <v>170</v>
      </c>
      <c r="B22" s="8" t="s">
        <v>171</v>
      </c>
    </row>
    <row r="23" customFormat="false" ht="15" hidden="false" customHeight="false" outlineLevel="0" collapsed="false">
      <c r="B23" s="8" t="s">
        <v>172</v>
      </c>
    </row>
  </sheetData>
  <autoFilter ref="A1:J20"/>
  <conditionalFormatting sqref="I2:I20">
    <cfRule type="cellIs" priority="2" operator="greaterThan" aboveAverage="0" equalAverage="0" bottom="0" percent="0" rank="0" text="" dxfId="4">
      <formula>1</formula>
    </cfRule>
  </conditionalFormatting>
  <dataValidations count="6">
    <dataValidation allowBlank="true" errorStyle="stop" operator="between" showDropDown="false" showErrorMessage="false" showInputMessage="false" sqref="B2:B20" type="list">
      <formula1>'Axis values'!$A$2:$A$7</formula1>
      <formula2>0</formula2>
    </dataValidation>
    <dataValidation allowBlank="true" errorStyle="stop" operator="between" showDropDown="false" showErrorMessage="false" showInputMessage="false" sqref="C2:C20" type="list">
      <formula1>'Axis values'!$B$2:$B$6</formula1>
      <formula2>0</formula2>
    </dataValidation>
    <dataValidation allowBlank="true" errorStyle="stop" operator="between" showDropDown="false" showErrorMessage="false" showInputMessage="false" sqref="D2:D20" type="list">
      <formula1>'Axis values'!$C$2:$C$6</formula1>
      <formula2>0</formula2>
    </dataValidation>
    <dataValidation allowBlank="true" errorStyle="stop" operator="between" showDropDown="false" showErrorMessage="false" showInputMessage="false" sqref="E2:E20" type="list">
      <formula1>'Axis values'!$D$2:$D$11</formula1>
      <formula2>0</formula2>
    </dataValidation>
    <dataValidation allowBlank="true" errorStyle="stop" operator="between" showDropDown="false" showErrorMessage="false" showInputMessage="false" sqref="F2:F20" type="list">
      <formula1>'Axis values'!$E$2:$E$7</formula1>
      <formula2>0</formula2>
    </dataValidation>
    <dataValidation allowBlank="true" errorStyle="stop" operator="between" showDropDown="false" showErrorMessage="false" showInputMessage="false" sqref="G2:G20" type="list">
      <formula1>'Axis values'!$F$2:$F$9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0"/>
    <col collapsed="false" customWidth="true" hidden="false" outlineLevel="0" max="5" min="3" style="0" width="9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44"/>
    <col collapsed="false" customWidth="true" hidden="false" outlineLevel="0" max="9" min="9" style="0" width="48"/>
  </cols>
  <sheetData>
    <row r="1" customFormat="false" ht="31.5" hidden="false" customHeight="true" outlineLevel="0" collapsed="false">
      <c r="A1" s="1" t="s">
        <v>173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6</v>
      </c>
      <c r="I1" s="1" t="s">
        <v>174</v>
      </c>
    </row>
    <row r="2" customFormat="false" ht="15" hidden="false" customHeight="false" outlineLevel="0" collapsed="false">
      <c r="A2" s="3" t="s">
        <v>175</v>
      </c>
      <c r="B2" s="2" t="s">
        <v>125</v>
      </c>
      <c r="C2" s="2" t="s">
        <v>139</v>
      </c>
      <c r="D2" s="2" t="s">
        <v>129</v>
      </c>
      <c r="E2" s="2" t="s">
        <v>148</v>
      </c>
      <c r="F2" s="2" t="s">
        <v>135</v>
      </c>
      <c r="G2" s="2" t="s">
        <v>136</v>
      </c>
      <c r="H2" s="2" t="s">
        <v>176</v>
      </c>
      <c r="I2" s="2" t="s">
        <v>177</v>
      </c>
    </row>
    <row r="3" customFormat="false" ht="15" hidden="false" customHeight="false" outlineLevel="0" collapsed="false">
      <c r="A3" s="3" t="s">
        <v>178</v>
      </c>
      <c r="B3" s="2" t="s">
        <v>138</v>
      </c>
      <c r="C3" s="2" t="s">
        <v>139</v>
      </c>
      <c r="D3" s="2" t="s">
        <v>129</v>
      </c>
      <c r="E3" s="2" t="s">
        <v>148</v>
      </c>
      <c r="F3" s="2" t="s">
        <v>135</v>
      </c>
      <c r="G3" s="2" t="s">
        <v>136</v>
      </c>
      <c r="H3" s="2" t="s">
        <v>179</v>
      </c>
      <c r="I3" s="2" t="s">
        <v>180</v>
      </c>
    </row>
    <row r="4" customFormat="false" ht="23.85" hidden="false" customHeight="false" outlineLevel="0" collapsed="false">
      <c r="A4" s="3" t="s">
        <v>181</v>
      </c>
      <c r="B4" s="2" t="s">
        <v>138</v>
      </c>
      <c r="C4" s="2" t="s">
        <v>139</v>
      </c>
      <c r="D4" s="2" t="s">
        <v>140</v>
      </c>
      <c r="E4" s="2" t="s">
        <v>153</v>
      </c>
      <c r="F4" s="2" t="s">
        <v>135</v>
      </c>
      <c r="G4" s="2" t="s">
        <v>182</v>
      </c>
      <c r="H4" s="2" t="s">
        <v>183</v>
      </c>
      <c r="I4" s="2" t="s">
        <v>184</v>
      </c>
    </row>
    <row r="5" customFormat="false" ht="15" hidden="false" customHeight="false" outlineLevel="0" collapsed="false">
      <c r="A5" s="3" t="s">
        <v>185</v>
      </c>
      <c r="B5" s="2" t="s">
        <v>138</v>
      </c>
      <c r="C5" s="2" t="s">
        <v>139</v>
      </c>
      <c r="D5" s="2" t="s">
        <v>129</v>
      </c>
      <c r="E5" s="2" t="s">
        <v>130</v>
      </c>
      <c r="F5" s="2" t="s">
        <v>186</v>
      </c>
      <c r="G5" s="2" t="s">
        <v>136</v>
      </c>
      <c r="H5" s="2" t="s">
        <v>187</v>
      </c>
      <c r="I5" s="2" t="s">
        <v>188</v>
      </c>
    </row>
    <row r="6" customFormat="false" ht="15" hidden="false" customHeight="false" outlineLevel="0" collapsed="false">
      <c r="A6" s="3" t="s">
        <v>189</v>
      </c>
      <c r="B6" s="2" t="s">
        <v>127</v>
      </c>
      <c r="C6" s="2" t="s">
        <v>128</v>
      </c>
      <c r="D6" s="2" t="s">
        <v>147</v>
      </c>
      <c r="E6" s="2" t="s">
        <v>167</v>
      </c>
      <c r="F6" s="2" t="s">
        <v>123</v>
      </c>
      <c r="G6" s="2" t="s">
        <v>136</v>
      </c>
      <c r="H6" s="2" t="s">
        <v>190</v>
      </c>
      <c r="I6" s="2" t="s">
        <v>191</v>
      </c>
    </row>
    <row r="7" customFormat="false" ht="15" hidden="false" customHeight="false" outlineLevel="0" collapsed="false">
      <c r="A7" s="3" t="s">
        <v>192</v>
      </c>
      <c r="B7" s="2" t="s">
        <v>122</v>
      </c>
      <c r="C7" s="2" t="s">
        <v>128</v>
      </c>
      <c r="D7" s="2" t="s">
        <v>129</v>
      </c>
      <c r="E7" s="2" t="s">
        <v>130</v>
      </c>
      <c r="F7" s="2" t="s">
        <v>135</v>
      </c>
      <c r="G7" s="2" t="s">
        <v>120</v>
      </c>
      <c r="H7" s="2" t="s">
        <v>193</v>
      </c>
      <c r="I7" s="2" t="s">
        <v>194</v>
      </c>
    </row>
    <row r="8" customFormat="false" ht="15" hidden="false" customHeight="false" outlineLevel="0" collapsed="false">
      <c r="A8" s="3" t="s">
        <v>195</v>
      </c>
      <c r="B8" s="2" t="s">
        <v>127</v>
      </c>
      <c r="C8" s="2" t="s">
        <v>139</v>
      </c>
      <c r="D8" s="2" t="s">
        <v>140</v>
      </c>
      <c r="E8" s="2" t="s">
        <v>118</v>
      </c>
      <c r="F8" s="2" t="s">
        <v>119</v>
      </c>
      <c r="G8" s="2" t="s">
        <v>182</v>
      </c>
      <c r="H8" s="2" t="s">
        <v>196</v>
      </c>
      <c r="I8" s="2" t="s">
        <v>197</v>
      </c>
    </row>
    <row r="10" customFormat="false" ht="15" hidden="false" customHeight="false" outlineLevel="0" collapsed="false">
      <c r="A10" s="9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6"/>
  </cols>
  <sheetData>
    <row r="1" customFormat="false" ht="31.5" hidden="false" customHeight="true" outlineLevel="0" collapsed="false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</row>
    <row r="2" customFormat="false" ht="15" hidden="false" customHeight="false" outlineLevel="0" collapsed="false">
      <c r="A2" s="2" t="s">
        <v>138</v>
      </c>
      <c r="B2" s="2" t="s">
        <v>117</v>
      </c>
      <c r="C2" s="2" t="s">
        <v>117</v>
      </c>
      <c r="D2" s="2" t="s">
        <v>118</v>
      </c>
      <c r="E2" s="2" t="s">
        <v>123</v>
      </c>
      <c r="F2" s="2" t="s">
        <v>136</v>
      </c>
    </row>
    <row r="3" customFormat="false" ht="15" hidden="false" customHeight="false" outlineLevel="0" collapsed="false">
      <c r="A3" s="2" t="s">
        <v>116</v>
      </c>
      <c r="B3" s="2" t="s">
        <v>146</v>
      </c>
      <c r="C3" s="2" t="s">
        <v>140</v>
      </c>
      <c r="D3" s="2" t="s">
        <v>141</v>
      </c>
      <c r="E3" s="2" t="s">
        <v>151</v>
      </c>
      <c r="F3" s="2" t="s">
        <v>160</v>
      </c>
    </row>
    <row r="4" customFormat="false" ht="15" hidden="false" customHeight="false" outlineLevel="0" collapsed="false">
      <c r="A4" s="2" t="s">
        <v>122</v>
      </c>
      <c r="B4" s="2" t="s">
        <v>128</v>
      </c>
      <c r="C4" s="2" t="s">
        <v>147</v>
      </c>
      <c r="D4" s="2" t="s">
        <v>155</v>
      </c>
      <c r="E4" s="2" t="s">
        <v>135</v>
      </c>
      <c r="F4" s="2" t="s">
        <v>131</v>
      </c>
    </row>
    <row r="5" customFormat="false" ht="15" hidden="false" customHeight="false" outlineLevel="0" collapsed="false">
      <c r="A5" s="2" t="s">
        <v>125</v>
      </c>
      <c r="B5" s="2" t="s">
        <v>139</v>
      </c>
      <c r="C5" s="2" t="s">
        <v>129</v>
      </c>
      <c r="D5" s="2" t="s">
        <v>167</v>
      </c>
      <c r="E5" s="2" t="s">
        <v>119</v>
      </c>
      <c r="F5" s="2" t="s">
        <v>162</v>
      </c>
    </row>
    <row r="6" customFormat="false" ht="15" hidden="false" customHeight="false" outlineLevel="0" collapsed="false">
      <c r="A6" s="2" t="s">
        <v>127</v>
      </c>
      <c r="B6" s="2" t="s">
        <v>134</v>
      </c>
      <c r="C6" s="2" t="s">
        <v>133</v>
      </c>
      <c r="D6" s="2" t="s">
        <v>148</v>
      </c>
      <c r="E6" s="2" t="s">
        <v>144</v>
      </c>
      <c r="F6" s="2" t="s">
        <v>157</v>
      </c>
    </row>
    <row r="7" customFormat="false" ht="15" hidden="false" customHeight="false" outlineLevel="0" collapsed="false">
      <c r="A7" s="2" t="s">
        <v>133</v>
      </c>
      <c r="D7" s="2" t="s">
        <v>130</v>
      </c>
      <c r="E7" s="2" t="s">
        <v>186</v>
      </c>
      <c r="F7" s="2" t="s">
        <v>120</v>
      </c>
    </row>
    <row r="8" customFormat="false" ht="15" hidden="false" customHeight="false" outlineLevel="0" collapsed="false">
      <c r="D8" s="2" t="s">
        <v>153</v>
      </c>
      <c r="F8" s="2" t="s">
        <v>149</v>
      </c>
    </row>
    <row r="9" customFormat="false" ht="15" hidden="false" customHeight="false" outlineLevel="0" collapsed="false">
      <c r="D9" s="2" t="s">
        <v>143</v>
      </c>
      <c r="F9" s="2" t="s">
        <v>182</v>
      </c>
    </row>
    <row r="10" customFormat="false" ht="15" hidden="false" customHeight="false" outlineLevel="0" collapsed="false">
      <c r="D10" s="2" t="s">
        <v>159</v>
      </c>
    </row>
    <row r="11" customFormat="false" ht="15" hidden="false" customHeight="false" outlineLevel="0" collapsed="false">
      <c r="D11" s="2" t="s">
        <v>134</v>
      </c>
    </row>
    <row r="12" customFormat="false" ht="15" hidden="false" customHeight="false" outlineLevel="0" collapsed="false">
      <c r="A12" s="10" t="s">
        <v>199</v>
      </c>
    </row>
    <row r="13" customFormat="false" ht="69.75" hidden="false" customHeight="true" outlineLevel="0" collapsed="false">
      <c r="A13" s="11" t="s">
        <v>200</v>
      </c>
      <c r="B13" s="11" t="s">
        <v>201</v>
      </c>
      <c r="C13" s="11" t="s">
        <v>202</v>
      </c>
      <c r="D13" s="11" t="s">
        <v>203</v>
      </c>
      <c r="E13" s="11" t="s">
        <v>204</v>
      </c>
      <c r="F13" s="11" t="s">
        <v>203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46"/>
    <col collapsed="false" customWidth="true" hidden="false" outlineLevel="0" max="4" min="4" style="0" width="56"/>
  </cols>
  <sheetData>
    <row r="1" customFormat="false" ht="31.5" hidden="false" customHeight="true" outlineLevel="0" collapsed="false">
      <c r="A1" s="1" t="s">
        <v>205</v>
      </c>
      <c r="B1" s="1" t="s">
        <v>206</v>
      </c>
      <c r="C1" s="1" t="s">
        <v>207</v>
      </c>
      <c r="D1" s="1" t="s">
        <v>208</v>
      </c>
    </row>
    <row r="2" customFormat="false" ht="23.85" hidden="false" customHeight="false" outlineLevel="0" collapsed="false">
      <c r="A2" s="2" t="s">
        <v>209</v>
      </c>
      <c r="B2" s="3" t="s">
        <v>210</v>
      </c>
      <c r="C2" s="2" t="s">
        <v>211</v>
      </c>
      <c r="D2" s="2" t="s">
        <v>212</v>
      </c>
    </row>
    <row r="3" customFormat="false" ht="23.85" hidden="false" customHeight="false" outlineLevel="0" collapsed="false">
      <c r="A3" s="2" t="s">
        <v>213</v>
      </c>
      <c r="B3" s="3" t="s">
        <v>214</v>
      </c>
      <c r="C3" s="2" t="s">
        <v>215</v>
      </c>
      <c r="D3" s="2" t="s">
        <v>216</v>
      </c>
    </row>
    <row r="4" customFormat="false" ht="15" hidden="false" customHeight="false" outlineLevel="0" collapsed="false">
      <c r="A4" s="2" t="s">
        <v>217</v>
      </c>
      <c r="B4" s="3" t="s">
        <v>218</v>
      </c>
      <c r="C4" s="2" t="s">
        <v>219</v>
      </c>
      <c r="D4" s="2" t="s">
        <v>220</v>
      </c>
    </row>
    <row r="5" customFormat="false" ht="15" hidden="false" customHeight="false" outlineLevel="0" collapsed="false">
      <c r="A5" s="2" t="s">
        <v>221</v>
      </c>
      <c r="B5" s="3" t="s">
        <v>222</v>
      </c>
      <c r="C5" s="2" t="s">
        <v>223</v>
      </c>
      <c r="D5" s="2" t="s">
        <v>224</v>
      </c>
    </row>
    <row r="6" customFormat="false" ht="23.85" hidden="false" customHeight="false" outlineLevel="0" collapsed="false">
      <c r="A6" s="2" t="s">
        <v>225</v>
      </c>
      <c r="B6" s="3" t="s">
        <v>226</v>
      </c>
      <c r="C6" s="2" t="s">
        <v>227</v>
      </c>
      <c r="D6" s="2"/>
    </row>
    <row r="7" customFormat="false" ht="15" hidden="false" customHeight="false" outlineLevel="0" collapsed="false">
      <c r="A7" s="2" t="s">
        <v>228</v>
      </c>
      <c r="B7" s="3" t="s">
        <v>229</v>
      </c>
      <c r="C7" s="2" t="s">
        <v>230</v>
      </c>
      <c r="D7" s="2"/>
    </row>
    <row r="8" customFormat="false" ht="23.85" hidden="false" customHeight="false" outlineLevel="0" collapsed="false">
      <c r="A8" s="2" t="s">
        <v>231</v>
      </c>
      <c r="B8" s="3" t="s">
        <v>232</v>
      </c>
      <c r="C8" s="2" t="s">
        <v>233</v>
      </c>
      <c r="D8" s="2"/>
    </row>
    <row r="9" customFormat="false" ht="23.85" hidden="false" customHeight="false" outlineLevel="0" collapsed="false">
      <c r="A9" s="2" t="s">
        <v>234</v>
      </c>
      <c r="B9" s="3" t="s">
        <v>235</v>
      </c>
      <c r="C9" s="2" t="s">
        <v>236</v>
      </c>
      <c r="D9" s="2"/>
    </row>
    <row r="10" customFormat="false" ht="23.85" hidden="false" customHeight="false" outlineLevel="0" collapsed="false">
      <c r="A10" s="2" t="s">
        <v>237</v>
      </c>
      <c r="B10" s="3" t="s">
        <v>238</v>
      </c>
      <c r="C10" s="2" t="s">
        <v>239</v>
      </c>
      <c r="D10" s="2"/>
    </row>
    <row r="11" customFormat="false" ht="15" hidden="false" customHeight="false" outlineLevel="0" collapsed="false">
      <c r="A11" s="2" t="s">
        <v>240</v>
      </c>
      <c r="B11" s="3" t="s">
        <v>241</v>
      </c>
      <c r="C11" s="2" t="s">
        <v>242</v>
      </c>
      <c r="D11" s="2" t="s">
        <v>243</v>
      </c>
    </row>
    <row r="12" customFormat="false" ht="15" hidden="false" customHeight="false" outlineLevel="0" collapsed="false">
      <c r="A12" s="2" t="s">
        <v>244</v>
      </c>
      <c r="B12" s="3" t="s">
        <v>245</v>
      </c>
      <c r="C12" s="2" t="s">
        <v>246</v>
      </c>
      <c r="D12" s="2"/>
    </row>
    <row r="13" customFormat="false" ht="15" hidden="false" customHeight="false" outlineLevel="0" collapsed="false">
      <c r="A13" s="2" t="s">
        <v>247</v>
      </c>
      <c r="B13" s="3" t="s">
        <v>248</v>
      </c>
      <c r="C13" s="2"/>
      <c r="D13" s="2" t="s">
        <v>249</v>
      </c>
    </row>
    <row r="14" customFormat="false" ht="15" hidden="false" customHeight="false" outlineLevel="0" collapsed="false">
      <c r="A14" s="2" t="s">
        <v>250</v>
      </c>
      <c r="B14" s="3" t="s">
        <v>251</v>
      </c>
      <c r="C14" s="2" t="s">
        <v>252</v>
      </c>
      <c r="D14" s="2" t="s">
        <v>253</v>
      </c>
    </row>
    <row r="15" customFormat="false" ht="15" hidden="false" customHeight="false" outlineLevel="0" collapsed="false">
      <c r="A15" s="2" t="s">
        <v>254</v>
      </c>
      <c r="B15" s="3" t="s">
        <v>255</v>
      </c>
      <c r="C15" s="2"/>
      <c r="D15" s="2" t="s">
        <v>256</v>
      </c>
    </row>
    <row r="16" customFormat="false" ht="23.85" hidden="false" customHeight="false" outlineLevel="0" collapsed="false">
      <c r="A16" s="2" t="s">
        <v>257</v>
      </c>
      <c r="B16" s="3" t="s">
        <v>258</v>
      </c>
      <c r="C16" s="2" t="s">
        <v>259</v>
      </c>
      <c r="D16" s="2" t="s">
        <v>260</v>
      </c>
    </row>
    <row r="17" customFormat="false" ht="15" hidden="false" customHeight="false" outlineLevel="0" collapsed="false">
      <c r="A17" s="2" t="s">
        <v>261</v>
      </c>
      <c r="B17" s="3" t="s">
        <v>262</v>
      </c>
      <c r="C17" s="2"/>
      <c r="D17" s="2" t="s">
        <v>263</v>
      </c>
    </row>
    <row r="18" customFormat="false" ht="23.85" hidden="false" customHeight="false" outlineLevel="0" collapsed="false">
      <c r="A18" s="2" t="s">
        <v>264</v>
      </c>
      <c r="B18" s="3" t="s">
        <v>265</v>
      </c>
      <c r="C18" s="2" t="s">
        <v>266</v>
      </c>
      <c r="D18" s="2" t="s">
        <v>267</v>
      </c>
    </row>
  </sheetData>
  <autoFilter ref="A1:D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5" hidden="false" customHeight="false" outlineLevel="0" collapsed="false">
      <c r="A1" s="12" t="s">
        <v>268</v>
      </c>
    </row>
    <row r="2" customFormat="false" ht="15" hidden="false" customHeight="false" outlineLevel="0" collapsed="false">
      <c r="A2" s="13" t="s">
        <v>269</v>
      </c>
    </row>
    <row r="3" customFormat="false" ht="15" hidden="false" customHeight="false" outlineLevel="0" collapsed="false">
      <c r="A3" s="13" t="s">
        <v>270</v>
      </c>
    </row>
    <row r="4" customFormat="false" ht="26.85" hidden="false" customHeight="false" outlineLevel="0" collapsed="false">
      <c r="A4" s="13" t="s">
        <v>271</v>
      </c>
    </row>
    <row r="5" customFormat="false" ht="15" hidden="false" customHeight="false" outlineLevel="0" collapsed="false">
      <c r="A5" s="13" t="s">
        <v>272</v>
      </c>
    </row>
    <row r="6" customFormat="false" ht="26.85" hidden="false" customHeight="false" outlineLevel="0" collapsed="false">
      <c r="A6" s="13" t="s">
        <v>273</v>
      </c>
    </row>
    <row r="7" customFormat="false" ht="39.55" hidden="false" customHeight="false" outlineLevel="0" collapsed="false">
      <c r="A7" s="13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2026-10-16T23:04:20Z</dcterms:created>
  <dc:creator>openpyxl</dc:creator>
  <dc:description/>
  <dc:language>en-US</dc:language>
  <cp:lastModifiedBy/>
  <dcterms:modified xsi:type="dcterms:W3CDTF">2026-10-16T23:46:20Z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